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mentroncamento-my.sharepoint.com/personal/marco_morais_cm-entroncamento_pt/Documents/"/>
    </mc:Choice>
  </mc:AlternateContent>
  <xr:revisionPtr revIDLastSave="56" documentId="11_EC2354964F266EB04905342144EE109ECA44D629" xr6:coauthVersionLast="47" xr6:coauthVersionMax="47" xr10:uidLastSave="{DFCA541E-EA11-4329-AB74-E07096874FFF}"/>
  <bookViews>
    <workbookView xWindow="-108" yWindow="-108" windowWidth="23256" windowHeight="12456" tabRatio="847" activeTab="4" xr2:uid="{00000000-000D-0000-FFFF-FFFF00000000}"/>
  </bookViews>
  <sheets>
    <sheet name="Capa" sheetId="1" r:id="rId1"/>
    <sheet name="Uso Rápido" sheetId="2" r:id="rId2"/>
    <sheet name="Config" sheetId="3" r:id="rId3"/>
    <sheet name="Manual Operacional" sheetId="4" r:id="rId4"/>
    <sheet name="Dashboard" sheetId="8" r:id="rId5"/>
    <sheet name="Registo Diário" sheetId="5" r:id="rId6"/>
    <sheet name="Semaforo Semanal" sheetId="13" r:id="rId7"/>
    <sheet name="Controlo Mensal" sheetId="9" r:id="rId8"/>
    <sheet name="Revisao Trimestral" sheetId="15" r:id="rId9"/>
    <sheet name="Controlo Lote" sheetId="6" r:id="rId10"/>
    <sheet name="Targets" sheetId="7" r:id="rId11"/>
    <sheet name="Projeções" sheetId="10" r:id="rId12"/>
    <sheet name="Ciclos Negativos" sheetId="11" r:id="rId13"/>
    <sheet name="Equity vs Drawdown" sheetId="12" r:id="rId14"/>
    <sheet name="Score de Saude" sheetId="14" r:id="rId15"/>
    <sheet name="Historico Decisoes" sheetId="16" r:id="rId16"/>
    <sheet name="Cenarios Stress" sheetId="17" r:id="rId17"/>
    <sheet name="Simulador 10k" sheetId="18" r:id="rId18"/>
    <sheet name="Indicador Lote" sheetId="19" r:id="rId19"/>
    <sheet name="DD Metrics" sheetId="20" r:id="rId20"/>
    <sheet name="Plano Rendimentos" sheetId="21" r:id="rId21"/>
    <sheet name="Monitor Saude EA" sheetId="22" r:id="rId22"/>
    <sheet name="Profit Lock" sheetId="23" r:id="rId23"/>
  </sheets>
  <calcPr calcId="191029" calcCompleted="0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5" l="1"/>
  <c r="E9" i="15"/>
  <c r="G9" i="15"/>
  <c r="D10" i="15"/>
  <c r="E10" i="15"/>
  <c r="G10" i="15"/>
  <c r="D11" i="15"/>
  <c r="E11" i="15"/>
  <c r="G11" i="15"/>
  <c r="D12" i="15"/>
  <c r="E12" i="15"/>
  <c r="G12" i="15"/>
  <c r="D13" i="15"/>
  <c r="E13" i="15"/>
  <c r="G13" i="15"/>
  <c r="D14" i="15"/>
  <c r="E14" i="15"/>
  <c r="G14" i="15"/>
  <c r="D15" i="15"/>
  <c r="E15" i="15"/>
  <c r="G15" i="15"/>
  <c r="D16" i="15"/>
  <c r="E16" i="15"/>
  <c r="G16" i="15"/>
  <c r="D17" i="15"/>
  <c r="E17" i="15"/>
  <c r="G17" i="15"/>
  <c r="D18" i="15"/>
  <c r="E18" i="15"/>
  <c r="G18" i="15"/>
  <c r="D19" i="15"/>
  <c r="E19" i="15"/>
  <c r="G19" i="15"/>
  <c r="D20" i="15"/>
  <c r="E20" i="15"/>
  <c r="G20" i="15"/>
  <c r="B13" i="23"/>
  <c r="B5" i="23"/>
  <c r="B8" i="22"/>
  <c r="B11" i="22" s="1"/>
  <c r="B7" i="22"/>
  <c r="B6" i="22"/>
  <c r="K48" i="8" s="1"/>
  <c r="C22" i="21"/>
  <c r="D22" i="21" s="1"/>
  <c r="B22" i="21"/>
  <c r="C21" i="21"/>
  <c r="D21" i="21" s="1"/>
  <c r="B21" i="21"/>
  <c r="C20" i="21"/>
  <c r="B20" i="21"/>
  <c r="D20" i="21" s="1"/>
  <c r="B15" i="21"/>
  <c r="B5" i="21"/>
  <c r="B4" i="21"/>
  <c r="B9" i="19"/>
  <c r="B13" i="19" s="1"/>
  <c r="K29" i="8" s="1"/>
  <c r="B4" i="19"/>
  <c r="B6" i="18"/>
  <c r="D129" i="18" s="1"/>
  <c r="D5" i="18"/>
  <c r="B5" i="18"/>
  <c r="B4" i="18"/>
  <c r="C20" i="18" s="1"/>
  <c r="B8" i="17"/>
  <c r="D8" i="17" s="1"/>
  <c r="G8" i="17" s="1"/>
  <c r="B7" i="17"/>
  <c r="D7" i="17" s="1"/>
  <c r="G7" i="17" s="1"/>
  <c r="C6" i="17"/>
  <c r="B6" i="17"/>
  <c r="C5" i="17"/>
  <c r="B5" i="17"/>
  <c r="C4" i="17"/>
  <c r="B4" i="17"/>
  <c r="G8" i="15"/>
  <c r="E8" i="15"/>
  <c r="D8" i="15"/>
  <c r="G7" i="15"/>
  <c r="E7" i="15"/>
  <c r="D7" i="15"/>
  <c r="G6" i="15"/>
  <c r="E6" i="15"/>
  <c r="D6" i="15"/>
  <c r="G5" i="15"/>
  <c r="E5" i="15"/>
  <c r="D5" i="15"/>
  <c r="D4" i="15"/>
  <c r="E4" i="15" s="1"/>
  <c r="B6" i="14"/>
  <c r="B2" i="14"/>
  <c r="E55" i="13"/>
  <c r="H55" i="13" s="1"/>
  <c r="D55" i="13"/>
  <c r="E54" i="13"/>
  <c r="H54" i="13" s="1"/>
  <c r="D54" i="13"/>
  <c r="E53" i="13"/>
  <c r="H53" i="13" s="1"/>
  <c r="D53" i="13"/>
  <c r="E52" i="13"/>
  <c r="H52" i="13" s="1"/>
  <c r="D52" i="13"/>
  <c r="E51" i="13"/>
  <c r="H51" i="13" s="1"/>
  <c r="D51" i="13"/>
  <c r="E50" i="13"/>
  <c r="H50" i="13" s="1"/>
  <c r="D50" i="13"/>
  <c r="E49" i="13"/>
  <c r="H49" i="13" s="1"/>
  <c r="D49" i="13"/>
  <c r="E48" i="13"/>
  <c r="H48" i="13" s="1"/>
  <c r="D48" i="13"/>
  <c r="E47" i="13"/>
  <c r="H47" i="13" s="1"/>
  <c r="D47" i="13"/>
  <c r="E46" i="13"/>
  <c r="H46" i="13" s="1"/>
  <c r="D46" i="13"/>
  <c r="E45" i="13"/>
  <c r="H45" i="13" s="1"/>
  <c r="D45" i="13"/>
  <c r="E44" i="13"/>
  <c r="H44" i="13" s="1"/>
  <c r="D44" i="13"/>
  <c r="E43" i="13"/>
  <c r="H43" i="13" s="1"/>
  <c r="D43" i="13"/>
  <c r="E42" i="13"/>
  <c r="H42" i="13" s="1"/>
  <c r="D42" i="13"/>
  <c r="E41" i="13"/>
  <c r="H41" i="13" s="1"/>
  <c r="D41" i="13"/>
  <c r="E40" i="13"/>
  <c r="H40" i="13" s="1"/>
  <c r="D40" i="13"/>
  <c r="E39" i="13"/>
  <c r="H39" i="13" s="1"/>
  <c r="D39" i="13"/>
  <c r="E38" i="13"/>
  <c r="H38" i="13" s="1"/>
  <c r="D38" i="13"/>
  <c r="E37" i="13"/>
  <c r="H37" i="13" s="1"/>
  <c r="D37" i="13"/>
  <c r="E36" i="13"/>
  <c r="H36" i="13" s="1"/>
  <c r="D36" i="13"/>
  <c r="E35" i="13"/>
  <c r="H35" i="13" s="1"/>
  <c r="D35" i="13"/>
  <c r="E34" i="13"/>
  <c r="H34" i="13" s="1"/>
  <c r="D34" i="13"/>
  <c r="E33" i="13"/>
  <c r="H33" i="13" s="1"/>
  <c r="D33" i="13"/>
  <c r="E32" i="13"/>
  <c r="H32" i="13" s="1"/>
  <c r="D32" i="13"/>
  <c r="E31" i="13"/>
  <c r="H31" i="13" s="1"/>
  <c r="D31" i="13"/>
  <c r="E30" i="13"/>
  <c r="H30" i="13" s="1"/>
  <c r="D30" i="13"/>
  <c r="E29" i="13"/>
  <c r="H29" i="13" s="1"/>
  <c r="D29" i="13"/>
  <c r="E28" i="13"/>
  <c r="H28" i="13" s="1"/>
  <c r="D28" i="13"/>
  <c r="E27" i="13"/>
  <c r="H27" i="13" s="1"/>
  <c r="D27" i="13"/>
  <c r="E26" i="13"/>
  <c r="H26" i="13" s="1"/>
  <c r="D26" i="13"/>
  <c r="E25" i="13"/>
  <c r="H25" i="13" s="1"/>
  <c r="D25" i="13"/>
  <c r="E24" i="13"/>
  <c r="H24" i="13" s="1"/>
  <c r="D24" i="13"/>
  <c r="E23" i="13"/>
  <c r="H23" i="13" s="1"/>
  <c r="D23" i="13"/>
  <c r="E22" i="13"/>
  <c r="H22" i="13" s="1"/>
  <c r="D22" i="13"/>
  <c r="E21" i="13"/>
  <c r="H21" i="13" s="1"/>
  <c r="D21" i="13"/>
  <c r="E20" i="13"/>
  <c r="H20" i="13" s="1"/>
  <c r="D20" i="13"/>
  <c r="E19" i="13"/>
  <c r="H19" i="13" s="1"/>
  <c r="D19" i="13"/>
  <c r="E18" i="13"/>
  <c r="H18" i="13" s="1"/>
  <c r="D18" i="13"/>
  <c r="E17" i="13"/>
  <c r="H17" i="13" s="1"/>
  <c r="D17" i="13"/>
  <c r="E16" i="13"/>
  <c r="H16" i="13" s="1"/>
  <c r="D16" i="13"/>
  <c r="E15" i="13"/>
  <c r="H15" i="13" s="1"/>
  <c r="D15" i="13"/>
  <c r="E14" i="13"/>
  <c r="H14" i="13" s="1"/>
  <c r="D14" i="13"/>
  <c r="E13" i="13"/>
  <c r="H13" i="13" s="1"/>
  <c r="D13" i="13"/>
  <c r="E12" i="13"/>
  <c r="H12" i="13" s="1"/>
  <c r="D12" i="13"/>
  <c r="E11" i="13"/>
  <c r="H11" i="13" s="1"/>
  <c r="D11" i="13"/>
  <c r="E10" i="13"/>
  <c r="H10" i="13" s="1"/>
  <c r="D10" i="13"/>
  <c r="E9" i="13"/>
  <c r="H9" i="13" s="1"/>
  <c r="D9" i="13"/>
  <c r="E8" i="13"/>
  <c r="H8" i="13" s="1"/>
  <c r="D8" i="13"/>
  <c r="E7" i="13"/>
  <c r="H7" i="13" s="1"/>
  <c r="D7" i="13"/>
  <c r="E6" i="13"/>
  <c r="H6" i="13" s="1"/>
  <c r="D6" i="13"/>
  <c r="D5" i="13"/>
  <c r="E5" i="13" s="1"/>
  <c r="H5" i="13" s="1"/>
  <c r="D4" i="13"/>
  <c r="E4" i="13" s="1"/>
  <c r="H4" i="13" s="1"/>
  <c r="D103" i="12"/>
  <c r="E103" i="12" s="1"/>
  <c r="D102" i="12"/>
  <c r="E102" i="12" s="1"/>
  <c r="D101" i="12"/>
  <c r="E101" i="12" s="1"/>
  <c r="D100" i="12"/>
  <c r="E100" i="12" s="1"/>
  <c r="D99" i="12"/>
  <c r="E99" i="12" s="1"/>
  <c r="D98" i="12"/>
  <c r="E98" i="12" s="1"/>
  <c r="D97" i="12"/>
  <c r="E97" i="12" s="1"/>
  <c r="D96" i="12"/>
  <c r="E96" i="12" s="1"/>
  <c r="D95" i="12"/>
  <c r="E95" i="12" s="1"/>
  <c r="D94" i="12"/>
  <c r="E94" i="12" s="1"/>
  <c r="D93" i="12"/>
  <c r="E93" i="12" s="1"/>
  <c r="D92" i="12"/>
  <c r="E92" i="12" s="1"/>
  <c r="D91" i="12"/>
  <c r="E91" i="12" s="1"/>
  <c r="D90" i="12"/>
  <c r="E90" i="12" s="1"/>
  <c r="D89" i="12"/>
  <c r="E89" i="12" s="1"/>
  <c r="D88" i="12"/>
  <c r="E88" i="12" s="1"/>
  <c r="D87" i="12"/>
  <c r="E87" i="12" s="1"/>
  <c r="D86" i="12"/>
  <c r="E86" i="12" s="1"/>
  <c r="D85" i="12"/>
  <c r="E85" i="12" s="1"/>
  <c r="D84" i="12"/>
  <c r="E84" i="12" s="1"/>
  <c r="D83" i="12"/>
  <c r="E83" i="12" s="1"/>
  <c r="D82" i="12"/>
  <c r="E82" i="12" s="1"/>
  <c r="D81" i="12"/>
  <c r="E81" i="12" s="1"/>
  <c r="D80" i="12"/>
  <c r="E80" i="12" s="1"/>
  <c r="D79" i="12"/>
  <c r="E79" i="12" s="1"/>
  <c r="D78" i="12"/>
  <c r="E78" i="12" s="1"/>
  <c r="D77" i="12"/>
  <c r="E77" i="12" s="1"/>
  <c r="D76" i="12"/>
  <c r="E76" i="12" s="1"/>
  <c r="D75" i="12"/>
  <c r="E75" i="12" s="1"/>
  <c r="D74" i="12"/>
  <c r="E74" i="12" s="1"/>
  <c r="D73" i="12"/>
  <c r="E73" i="12" s="1"/>
  <c r="D72" i="12"/>
  <c r="E72" i="12" s="1"/>
  <c r="D71" i="12"/>
  <c r="E71" i="12" s="1"/>
  <c r="D70" i="12"/>
  <c r="E70" i="12" s="1"/>
  <c r="D69" i="12"/>
  <c r="E69" i="12" s="1"/>
  <c r="D68" i="12"/>
  <c r="E68" i="12" s="1"/>
  <c r="D67" i="12"/>
  <c r="E67" i="12" s="1"/>
  <c r="D66" i="12"/>
  <c r="E66" i="12" s="1"/>
  <c r="D65" i="12"/>
  <c r="E65" i="12" s="1"/>
  <c r="D64" i="12"/>
  <c r="E64" i="12" s="1"/>
  <c r="D63" i="12"/>
  <c r="E63" i="12" s="1"/>
  <c r="D62" i="12"/>
  <c r="E62" i="12" s="1"/>
  <c r="D61" i="12"/>
  <c r="E61" i="12" s="1"/>
  <c r="D60" i="12"/>
  <c r="E60" i="12" s="1"/>
  <c r="D59" i="12"/>
  <c r="E59" i="12" s="1"/>
  <c r="D58" i="12"/>
  <c r="E58" i="12" s="1"/>
  <c r="D57" i="12"/>
  <c r="E57" i="12" s="1"/>
  <c r="D56" i="12"/>
  <c r="E56" i="12" s="1"/>
  <c r="D55" i="12"/>
  <c r="E55" i="12" s="1"/>
  <c r="D54" i="12"/>
  <c r="E54" i="12" s="1"/>
  <c r="D53" i="12"/>
  <c r="E53" i="12" s="1"/>
  <c r="D52" i="12"/>
  <c r="E52" i="12" s="1"/>
  <c r="D51" i="12"/>
  <c r="E51" i="12" s="1"/>
  <c r="D50" i="12"/>
  <c r="E50" i="12" s="1"/>
  <c r="D49" i="12"/>
  <c r="E49" i="12" s="1"/>
  <c r="D48" i="12"/>
  <c r="E48" i="12" s="1"/>
  <c r="D47" i="12"/>
  <c r="E47" i="12" s="1"/>
  <c r="D46" i="12"/>
  <c r="E46" i="12" s="1"/>
  <c r="D45" i="12"/>
  <c r="E45" i="12" s="1"/>
  <c r="D44" i="12"/>
  <c r="E44" i="12" s="1"/>
  <c r="D43" i="12"/>
  <c r="E43" i="12" s="1"/>
  <c r="D42" i="12"/>
  <c r="E42" i="12" s="1"/>
  <c r="D41" i="12"/>
  <c r="E41" i="12" s="1"/>
  <c r="D40" i="12"/>
  <c r="E40" i="12" s="1"/>
  <c r="D39" i="12"/>
  <c r="E39" i="12" s="1"/>
  <c r="D38" i="12"/>
  <c r="E38" i="12" s="1"/>
  <c r="D37" i="12"/>
  <c r="E37" i="12" s="1"/>
  <c r="D36" i="12"/>
  <c r="E36" i="12" s="1"/>
  <c r="D35" i="12"/>
  <c r="E35" i="12" s="1"/>
  <c r="D34" i="12"/>
  <c r="E34" i="12" s="1"/>
  <c r="D33" i="12"/>
  <c r="E33" i="12" s="1"/>
  <c r="D32" i="12"/>
  <c r="E32" i="12" s="1"/>
  <c r="D31" i="12"/>
  <c r="E31" i="12" s="1"/>
  <c r="D30" i="12"/>
  <c r="E30" i="12" s="1"/>
  <c r="D29" i="12"/>
  <c r="E29" i="12" s="1"/>
  <c r="D28" i="12"/>
  <c r="E28" i="12" s="1"/>
  <c r="D27" i="12"/>
  <c r="E27" i="12" s="1"/>
  <c r="D26" i="12"/>
  <c r="E26" i="12" s="1"/>
  <c r="D25" i="12"/>
  <c r="E25" i="12" s="1"/>
  <c r="D24" i="12"/>
  <c r="E24" i="12" s="1"/>
  <c r="D23" i="12"/>
  <c r="E23" i="12" s="1"/>
  <c r="D22" i="12"/>
  <c r="E22" i="12" s="1"/>
  <c r="D21" i="12"/>
  <c r="E21" i="12" s="1"/>
  <c r="D20" i="12"/>
  <c r="E20" i="12" s="1"/>
  <c r="D19" i="12"/>
  <c r="E19" i="12" s="1"/>
  <c r="D18" i="12"/>
  <c r="E18" i="12" s="1"/>
  <c r="D17" i="12"/>
  <c r="E17" i="12" s="1"/>
  <c r="D16" i="12"/>
  <c r="E16" i="12" s="1"/>
  <c r="D15" i="12"/>
  <c r="E15" i="12" s="1"/>
  <c r="D14" i="12"/>
  <c r="E14" i="12" s="1"/>
  <c r="D13" i="12"/>
  <c r="E13" i="12" s="1"/>
  <c r="D12" i="12"/>
  <c r="E12" i="12" s="1"/>
  <c r="D11" i="12"/>
  <c r="E11" i="12" s="1"/>
  <c r="D10" i="12"/>
  <c r="E10" i="12" s="1"/>
  <c r="D9" i="12"/>
  <c r="E9" i="12" s="1"/>
  <c r="D8" i="12"/>
  <c r="E8" i="12" s="1"/>
  <c r="D7" i="12"/>
  <c r="E7" i="12" s="1"/>
  <c r="D6" i="12"/>
  <c r="E6" i="12" s="1"/>
  <c r="D5" i="12"/>
  <c r="E5" i="12" s="1"/>
  <c r="D4" i="12"/>
  <c r="E4" i="12" s="1"/>
  <c r="G4" i="11"/>
  <c r="I9" i="10"/>
  <c r="I8" i="10"/>
  <c r="I7" i="10"/>
  <c r="I6" i="10"/>
  <c r="B6" i="10"/>
  <c r="I5" i="10"/>
  <c r="B5" i="10"/>
  <c r="B4" i="10"/>
  <c r="F15" i="9"/>
  <c r="E15" i="9"/>
  <c r="H15" i="9" s="1"/>
  <c r="F14" i="9"/>
  <c r="E14" i="9"/>
  <c r="H14" i="9" s="1"/>
  <c r="F13" i="9"/>
  <c r="E13" i="9"/>
  <c r="H13" i="9" s="1"/>
  <c r="F12" i="9"/>
  <c r="E12" i="9"/>
  <c r="H12" i="9" s="1"/>
  <c r="F11" i="9"/>
  <c r="E11" i="9"/>
  <c r="H11" i="9" s="1"/>
  <c r="F10" i="9"/>
  <c r="E10" i="9"/>
  <c r="H10" i="9" s="1"/>
  <c r="F9" i="9"/>
  <c r="E9" i="9"/>
  <c r="H9" i="9" s="1"/>
  <c r="F8" i="9"/>
  <c r="E8" i="9"/>
  <c r="H8" i="9" s="1"/>
  <c r="F7" i="9"/>
  <c r="E7" i="9"/>
  <c r="H7" i="9" s="1"/>
  <c r="F6" i="9"/>
  <c r="E6" i="9"/>
  <c r="H6" i="9" s="1"/>
  <c r="F5" i="9"/>
  <c r="E5" i="9"/>
  <c r="H5" i="9" s="1"/>
  <c r="F4" i="9"/>
  <c r="E4" i="9"/>
  <c r="H4" i="9" s="1"/>
  <c r="B33" i="8"/>
  <c r="B23" i="8"/>
  <c r="B22" i="8"/>
  <c r="B21" i="8"/>
  <c r="B20" i="8"/>
  <c r="B24" i="8" s="1"/>
  <c r="E13" i="8"/>
  <c r="E12" i="8"/>
  <c r="K11" i="8"/>
  <c r="E11" i="8"/>
  <c r="K10" i="8"/>
  <c r="K8" i="8"/>
  <c r="D8" i="8"/>
  <c r="B8" i="8"/>
  <c r="B7" i="8"/>
  <c r="K5" i="8"/>
  <c r="K4" i="8"/>
  <c r="B4" i="8"/>
  <c r="B3" i="8"/>
  <c r="B5" i="8" s="1"/>
  <c r="E12" i="7"/>
  <c r="E11" i="7"/>
  <c r="E6" i="7"/>
  <c r="E5" i="7"/>
  <c r="E4" i="7"/>
  <c r="E3" i="7"/>
  <c r="E2" i="7"/>
  <c r="C7" i="6"/>
  <c r="C6" i="6"/>
  <c r="C5" i="6"/>
  <c r="C4" i="6"/>
  <c r="B18" i="3"/>
  <c r="B34" i="8" s="1"/>
  <c r="B10" i="3"/>
  <c r="B3" i="14" s="1"/>
  <c r="I101" i="5"/>
  <c r="H101" i="5"/>
  <c r="D101" i="5"/>
  <c r="E101" i="5" s="1"/>
  <c r="F101" i="5" s="1"/>
  <c r="I100" i="5"/>
  <c r="H100" i="5"/>
  <c r="D100" i="5"/>
  <c r="E100" i="5" s="1"/>
  <c r="F100" i="5" s="1"/>
  <c r="I99" i="5"/>
  <c r="H99" i="5"/>
  <c r="D99" i="5"/>
  <c r="E99" i="5" s="1"/>
  <c r="F99" i="5" s="1"/>
  <c r="I98" i="5"/>
  <c r="H98" i="5"/>
  <c r="D98" i="5"/>
  <c r="E98" i="5" s="1"/>
  <c r="F98" i="5" s="1"/>
  <c r="I97" i="5"/>
  <c r="H97" i="5"/>
  <c r="D97" i="5"/>
  <c r="E97" i="5" s="1"/>
  <c r="F97" i="5" s="1"/>
  <c r="I96" i="5"/>
  <c r="H96" i="5"/>
  <c r="D96" i="5"/>
  <c r="E96" i="5" s="1"/>
  <c r="F96" i="5" s="1"/>
  <c r="I95" i="5"/>
  <c r="H95" i="5"/>
  <c r="D95" i="5"/>
  <c r="E95" i="5" s="1"/>
  <c r="F95" i="5" s="1"/>
  <c r="I94" i="5"/>
  <c r="H94" i="5"/>
  <c r="D94" i="5"/>
  <c r="E94" i="5" s="1"/>
  <c r="F94" i="5" s="1"/>
  <c r="I93" i="5"/>
  <c r="H93" i="5"/>
  <c r="D93" i="5"/>
  <c r="E93" i="5" s="1"/>
  <c r="F93" i="5" s="1"/>
  <c r="I92" i="5"/>
  <c r="H92" i="5"/>
  <c r="D92" i="5"/>
  <c r="I91" i="5"/>
  <c r="H91" i="5"/>
  <c r="D91" i="5"/>
  <c r="E91" i="5" s="1"/>
  <c r="F91" i="5" s="1"/>
  <c r="I90" i="5"/>
  <c r="H90" i="5"/>
  <c r="D90" i="5"/>
  <c r="E90" i="5" s="1"/>
  <c r="F90" i="5" s="1"/>
  <c r="I89" i="5"/>
  <c r="H89" i="5"/>
  <c r="D89" i="5"/>
  <c r="E89" i="5" s="1"/>
  <c r="F89" i="5" s="1"/>
  <c r="I88" i="5"/>
  <c r="H88" i="5"/>
  <c r="D88" i="5"/>
  <c r="E88" i="5" s="1"/>
  <c r="F88" i="5" s="1"/>
  <c r="I87" i="5"/>
  <c r="H87" i="5"/>
  <c r="D87" i="5"/>
  <c r="E87" i="5" s="1"/>
  <c r="F87" i="5" s="1"/>
  <c r="I86" i="5"/>
  <c r="H86" i="5"/>
  <c r="D86" i="5"/>
  <c r="E86" i="5" s="1"/>
  <c r="F86" i="5" s="1"/>
  <c r="I85" i="5"/>
  <c r="H85" i="5"/>
  <c r="D85" i="5"/>
  <c r="E85" i="5" s="1"/>
  <c r="F85" i="5" s="1"/>
  <c r="I84" i="5"/>
  <c r="H84" i="5"/>
  <c r="D84" i="5"/>
  <c r="E84" i="5" s="1"/>
  <c r="F84" i="5" s="1"/>
  <c r="I83" i="5"/>
  <c r="H83" i="5"/>
  <c r="D83" i="5"/>
  <c r="E83" i="5" s="1"/>
  <c r="F83" i="5" s="1"/>
  <c r="I82" i="5"/>
  <c r="H82" i="5"/>
  <c r="D82" i="5"/>
  <c r="E82" i="5" s="1"/>
  <c r="F82" i="5" s="1"/>
  <c r="I81" i="5"/>
  <c r="H81" i="5"/>
  <c r="D81" i="5"/>
  <c r="E81" i="5" s="1"/>
  <c r="F81" i="5" s="1"/>
  <c r="I80" i="5"/>
  <c r="H80" i="5"/>
  <c r="D80" i="5"/>
  <c r="E80" i="5" s="1"/>
  <c r="F80" i="5" s="1"/>
  <c r="I79" i="5"/>
  <c r="H79" i="5"/>
  <c r="D79" i="5"/>
  <c r="E79" i="5" s="1"/>
  <c r="F79" i="5" s="1"/>
  <c r="I78" i="5"/>
  <c r="H78" i="5"/>
  <c r="D78" i="5"/>
  <c r="E78" i="5" s="1"/>
  <c r="F78" i="5" s="1"/>
  <c r="I77" i="5"/>
  <c r="H77" i="5"/>
  <c r="D77" i="5"/>
  <c r="E77" i="5" s="1"/>
  <c r="F77" i="5" s="1"/>
  <c r="I76" i="5"/>
  <c r="H76" i="5"/>
  <c r="D76" i="5"/>
  <c r="E76" i="5" s="1"/>
  <c r="F76" i="5" s="1"/>
  <c r="I75" i="5"/>
  <c r="H75" i="5"/>
  <c r="D75" i="5"/>
  <c r="E75" i="5" s="1"/>
  <c r="F75" i="5" s="1"/>
  <c r="I74" i="5"/>
  <c r="H74" i="5"/>
  <c r="D74" i="5"/>
  <c r="E74" i="5" s="1"/>
  <c r="F74" i="5" s="1"/>
  <c r="I73" i="5"/>
  <c r="H73" i="5"/>
  <c r="D73" i="5"/>
  <c r="E73" i="5" s="1"/>
  <c r="F73" i="5" s="1"/>
  <c r="I72" i="5"/>
  <c r="H72" i="5"/>
  <c r="D72" i="5"/>
  <c r="E72" i="5" s="1"/>
  <c r="F72" i="5" s="1"/>
  <c r="I71" i="5"/>
  <c r="H71" i="5"/>
  <c r="D71" i="5"/>
  <c r="E71" i="5" s="1"/>
  <c r="F71" i="5" s="1"/>
  <c r="I70" i="5"/>
  <c r="H70" i="5"/>
  <c r="D70" i="5"/>
  <c r="E70" i="5" s="1"/>
  <c r="F70" i="5" s="1"/>
  <c r="I69" i="5"/>
  <c r="H69" i="5"/>
  <c r="D69" i="5"/>
  <c r="E69" i="5" s="1"/>
  <c r="F69" i="5" s="1"/>
  <c r="I68" i="5"/>
  <c r="H68" i="5"/>
  <c r="D68" i="5"/>
  <c r="E68" i="5" s="1"/>
  <c r="F68" i="5" s="1"/>
  <c r="I67" i="5"/>
  <c r="H67" i="5"/>
  <c r="D67" i="5"/>
  <c r="E67" i="5" s="1"/>
  <c r="F67" i="5" s="1"/>
  <c r="I66" i="5"/>
  <c r="H66" i="5"/>
  <c r="D66" i="5"/>
  <c r="E66" i="5" s="1"/>
  <c r="F66" i="5" s="1"/>
  <c r="I65" i="5"/>
  <c r="H65" i="5"/>
  <c r="D65" i="5"/>
  <c r="E65" i="5" s="1"/>
  <c r="F65" i="5" s="1"/>
  <c r="I64" i="5"/>
  <c r="H64" i="5"/>
  <c r="D64" i="5"/>
  <c r="E64" i="5" s="1"/>
  <c r="F64" i="5" s="1"/>
  <c r="I63" i="5"/>
  <c r="H63" i="5"/>
  <c r="D63" i="5"/>
  <c r="E63" i="5" s="1"/>
  <c r="F63" i="5" s="1"/>
  <c r="I62" i="5"/>
  <c r="H62" i="5"/>
  <c r="D62" i="5"/>
  <c r="E62" i="5" s="1"/>
  <c r="F62" i="5" s="1"/>
  <c r="I61" i="5"/>
  <c r="H61" i="5"/>
  <c r="D61" i="5"/>
  <c r="E61" i="5" s="1"/>
  <c r="F61" i="5" s="1"/>
  <c r="I60" i="5"/>
  <c r="H60" i="5"/>
  <c r="D60" i="5"/>
  <c r="E60" i="5" s="1"/>
  <c r="F60" i="5" s="1"/>
  <c r="I59" i="5"/>
  <c r="H59" i="5"/>
  <c r="D59" i="5"/>
  <c r="E59" i="5" s="1"/>
  <c r="F59" i="5" s="1"/>
  <c r="I58" i="5"/>
  <c r="H58" i="5"/>
  <c r="D58" i="5"/>
  <c r="E58" i="5" s="1"/>
  <c r="F58" i="5" s="1"/>
  <c r="I57" i="5"/>
  <c r="H57" i="5"/>
  <c r="D57" i="5"/>
  <c r="E57" i="5" s="1"/>
  <c r="F57" i="5" s="1"/>
  <c r="I56" i="5"/>
  <c r="H56" i="5"/>
  <c r="D56" i="5"/>
  <c r="E56" i="5" s="1"/>
  <c r="F56" i="5" s="1"/>
  <c r="I55" i="5"/>
  <c r="H55" i="5"/>
  <c r="D55" i="5"/>
  <c r="E55" i="5" s="1"/>
  <c r="F55" i="5" s="1"/>
  <c r="I54" i="5"/>
  <c r="H54" i="5"/>
  <c r="D54" i="5"/>
  <c r="E54" i="5" s="1"/>
  <c r="F54" i="5" s="1"/>
  <c r="I53" i="5"/>
  <c r="H53" i="5"/>
  <c r="D53" i="5"/>
  <c r="E53" i="5" s="1"/>
  <c r="F53" i="5" s="1"/>
  <c r="I52" i="5"/>
  <c r="H52" i="5"/>
  <c r="D52" i="5"/>
  <c r="E52" i="5" s="1"/>
  <c r="F52" i="5" s="1"/>
  <c r="I51" i="5"/>
  <c r="H51" i="5"/>
  <c r="D51" i="5"/>
  <c r="E51" i="5" s="1"/>
  <c r="F51" i="5" s="1"/>
  <c r="I50" i="5"/>
  <c r="H50" i="5"/>
  <c r="D50" i="5"/>
  <c r="E50" i="5" s="1"/>
  <c r="F50" i="5" s="1"/>
  <c r="I49" i="5"/>
  <c r="H49" i="5"/>
  <c r="D49" i="5"/>
  <c r="E49" i="5" s="1"/>
  <c r="F49" i="5" s="1"/>
  <c r="I48" i="5"/>
  <c r="H48" i="5"/>
  <c r="D48" i="5"/>
  <c r="E48" i="5" s="1"/>
  <c r="F48" i="5" s="1"/>
  <c r="I47" i="5"/>
  <c r="H47" i="5"/>
  <c r="D47" i="5"/>
  <c r="E47" i="5" s="1"/>
  <c r="F47" i="5" s="1"/>
  <c r="I46" i="5"/>
  <c r="H46" i="5"/>
  <c r="D46" i="5"/>
  <c r="E46" i="5" s="1"/>
  <c r="F46" i="5" s="1"/>
  <c r="I45" i="5"/>
  <c r="H45" i="5"/>
  <c r="D45" i="5"/>
  <c r="E45" i="5" s="1"/>
  <c r="F45" i="5" s="1"/>
  <c r="I44" i="5"/>
  <c r="H44" i="5"/>
  <c r="D44" i="5"/>
  <c r="E44" i="5" s="1"/>
  <c r="F44" i="5" s="1"/>
  <c r="I43" i="5"/>
  <c r="H43" i="5"/>
  <c r="D43" i="5"/>
  <c r="E43" i="5" s="1"/>
  <c r="F43" i="5" s="1"/>
  <c r="I42" i="5"/>
  <c r="H42" i="5"/>
  <c r="D42" i="5"/>
  <c r="E42" i="5" s="1"/>
  <c r="F42" i="5" s="1"/>
  <c r="I41" i="5"/>
  <c r="H41" i="5"/>
  <c r="D41" i="5"/>
  <c r="E41" i="5" s="1"/>
  <c r="F41" i="5" s="1"/>
  <c r="I40" i="5"/>
  <c r="H40" i="5"/>
  <c r="D40" i="5"/>
  <c r="E40" i="5" s="1"/>
  <c r="F40" i="5" s="1"/>
  <c r="I39" i="5"/>
  <c r="H39" i="5"/>
  <c r="D39" i="5"/>
  <c r="E39" i="5" s="1"/>
  <c r="F39" i="5" s="1"/>
  <c r="I38" i="5"/>
  <c r="H38" i="5"/>
  <c r="D38" i="5"/>
  <c r="E38" i="5" s="1"/>
  <c r="F38" i="5" s="1"/>
  <c r="I37" i="5"/>
  <c r="H37" i="5"/>
  <c r="D37" i="5"/>
  <c r="E37" i="5" s="1"/>
  <c r="F37" i="5" s="1"/>
  <c r="I36" i="5"/>
  <c r="H36" i="5"/>
  <c r="D36" i="5"/>
  <c r="E36" i="5" s="1"/>
  <c r="F36" i="5" s="1"/>
  <c r="I35" i="5"/>
  <c r="H35" i="5"/>
  <c r="D35" i="5"/>
  <c r="E35" i="5" s="1"/>
  <c r="F35" i="5" s="1"/>
  <c r="I34" i="5"/>
  <c r="H34" i="5"/>
  <c r="D34" i="5"/>
  <c r="E34" i="5" s="1"/>
  <c r="F34" i="5" s="1"/>
  <c r="I33" i="5"/>
  <c r="H33" i="5"/>
  <c r="D33" i="5"/>
  <c r="E33" i="5" s="1"/>
  <c r="F33" i="5" s="1"/>
  <c r="I32" i="5"/>
  <c r="H32" i="5"/>
  <c r="D32" i="5"/>
  <c r="E32" i="5" s="1"/>
  <c r="F32" i="5" s="1"/>
  <c r="I31" i="5"/>
  <c r="H31" i="5"/>
  <c r="D31" i="5"/>
  <c r="E31" i="5" s="1"/>
  <c r="F31" i="5" s="1"/>
  <c r="I30" i="5"/>
  <c r="H30" i="5"/>
  <c r="D30" i="5"/>
  <c r="E30" i="5" s="1"/>
  <c r="F30" i="5" s="1"/>
  <c r="I29" i="5"/>
  <c r="H29" i="5"/>
  <c r="D29" i="5"/>
  <c r="E29" i="5" s="1"/>
  <c r="F29" i="5" s="1"/>
  <c r="I28" i="5"/>
  <c r="H28" i="5"/>
  <c r="D28" i="5"/>
  <c r="E28" i="5" s="1"/>
  <c r="F28" i="5" s="1"/>
  <c r="I27" i="5"/>
  <c r="H27" i="5"/>
  <c r="D27" i="5"/>
  <c r="E27" i="5" s="1"/>
  <c r="F27" i="5" s="1"/>
  <c r="I26" i="5"/>
  <c r="H26" i="5"/>
  <c r="D26" i="5"/>
  <c r="E26" i="5" s="1"/>
  <c r="F26" i="5" s="1"/>
  <c r="I25" i="5"/>
  <c r="H25" i="5"/>
  <c r="D25" i="5"/>
  <c r="E25" i="5" s="1"/>
  <c r="F25" i="5" s="1"/>
  <c r="I24" i="5"/>
  <c r="H24" i="5"/>
  <c r="D24" i="5"/>
  <c r="E24" i="5" s="1"/>
  <c r="F24" i="5" s="1"/>
  <c r="I23" i="5"/>
  <c r="H23" i="5"/>
  <c r="D23" i="5"/>
  <c r="E23" i="5" s="1"/>
  <c r="F23" i="5" s="1"/>
  <c r="I22" i="5"/>
  <c r="H22" i="5"/>
  <c r="D22" i="5"/>
  <c r="E22" i="5" s="1"/>
  <c r="F22" i="5" s="1"/>
  <c r="I21" i="5"/>
  <c r="H21" i="5"/>
  <c r="D21" i="5"/>
  <c r="E21" i="5" s="1"/>
  <c r="F21" i="5" s="1"/>
  <c r="I20" i="5"/>
  <c r="H20" i="5"/>
  <c r="D20" i="5"/>
  <c r="E20" i="5" s="1"/>
  <c r="F20" i="5" s="1"/>
  <c r="I19" i="5"/>
  <c r="H19" i="5"/>
  <c r="D19" i="5"/>
  <c r="E19" i="5" s="1"/>
  <c r="F19" i="5" s="1"/>
  <c r="I18" i="5"/>
  <c r="H18" i="5"/>
  <c r="D18" i="5"/>
  <c r="E18" i="5" s="1"/>
  <c r="F18" i="5" s="1"/>
  <c r="I17" i="5"/>
  <c r="H17" i="5"/>
  <c r="D17" i="5"/>
  <c r="E17" i="5" s="1"/>
  <c r="F17" i="5" s="1"/>
  <c r="I16" i="5"/>
  <c r="H16" i="5"/>
  <c r="D16" i="5"/>
  <c r="E16" i="5" s="1"/>
  <c r="F16" i="5" s="1"/>
  <c r="I15" i="5"/>
  <c r="H15" i="5"/>
  <c r="D15" i="5"/>
  <c r="E15" i="5" s="1"/>
  <c r="F15" i="5" s="1"/>
  <c r="I14" i="5"/>
  <c r="H14" i="5"/>
  <c r="D14" i="5"/>
  <c r="E14" i="5" s="1"/>
  <c r="F14" i="5" s="1"/>
  <c r="I13" i="5"/>
  <c r="H13" i="5"/>
  <c r="D13" i="5"/>
  <c r="E13" i="5" s="1"/>
  <c r="F13" i="5" s="1"/>
  <c r="I12" i="5"/>
  <c r="H12" i="5"/>
  <c r="D12" i="5"/>
  <c r="E12" i="5" s="1"/>
  <c r="F12" i="5" s="1"/>
  <c r="I11" i="5"/>
  <c r="H11" i="5"/>
  <c r="D11" i="5"/>
  <c r="E11" i="5" s="1"/>
  <c r="F11" i="5" s="1"/>
  <c r="I10" i="5"/>
  <c r="H10" i="5"/>
  <c r="D10" i="5"/>
  <c r="E10" i="5" s="1"/>
  <c r="F10" i="5" s="1"/>
  <c r="I9" i="5"/>
  <c r="H9" i="5"/>
  <c r="D9" i="5"/>
  <c r="E9" i="5" s="1"/>
  <c r="F9" i="5" s="1"/>
  <c r="I8" i="5"/>
  <c r="H8" i="5"/>
  <c r="D8" i="5"/>
  <c r="E8" i="5" s="1"/>
  <c r="F8" i="5" s="1"/>
  <c r="I7" i="5"/>
  <c r="H7" i="5"/>
  <c r="D7" i="5"/>
  <c r="E7" i="5" s="1"/>
  <c r="F7" i="5" s="1"/>
  <c r="I6" i="5"/>
  <c r="H6" i="5"/>
  <c r="D6" i="5"/>
  <c r="E6" i="5" s="1"/>
  <c r="F6" i="5" s="1"/>
  <c r="I5" i="5"/>
  <c r="H5" i="5"/>
  <c r="D5" i="5"/>
  <c r="E5" i="5" s="1"/>
  <c r="F5" i="5" s="1"/>
  <c r="I4" i="5"/>
  <c r="H4" i="5"/>
  <c r="D4" i="5"/>
  <c r="E4" i="5" s="1"/>
  <c r="F4" i="5" s="1"/>
  <c r="I3" i="5"/>
  <c r="H3" i="5"/>
  <c r="D3" i="5"/>
  <c r="E3" i="5" s="1"/>
  <c r="F3" i="5" s="1"/>
  <c r="I2" i="5"/>
  <c r="H2" i="5"/>
  <c r="D2" i="5"/>
  <c r="E2" i="5" s="1"/>
  <c r="F2" i="5" s="1"/>
  <c r="K49" i="8" l="1"/>
  <c r="D31" i="18"/>
  <c r="D73" i="18"/>
  <c r="D63" i="18"/>
  <c r="D95" i="18"/>
  <c r="D102" i="18"/>
  <c r="D26" i="18"/>
  <c r="D106" i="18"/>
  <c r="D32" i="18"/>
  <c r="D36" i="18"/>
  <c r="D39" i="18"/>
  <c r="D58" i="18"/>
  <c r="D62" i="18"/>
  <c r="D105" i="18"/>
  <c r="D64" i="18"/>
  <c r="D70" i="18"/>
  <c r="D110" i="18"/>
  <c r="E15" i="8"/>
  <c r="D74" i="18"/>
  <c r="D25" i="18"/>
  <c r="D78" i="18"/>
  <c r="D30" i="18"/>
  <c r="D96" i="18"/>
  <c r="D42" i="18"/>
  <c r="D111" i="18"/>
  <c r="D46" i="18"/>
  <c r="D112" i="18"/>
  <c r="D79" i="18"/>
  <c r="D14" i="18"/>
  <c r="D47" i="18"/>
  <c r="D80" i="18"/>
  <c r="D116" i="18"/>
  <c r="D15" i="18"/>
  <c r="D48" i="18"/>
  <c r="D84" i="18"/>
  <c r="D118" i="18"/>
  <c r="C116" i="18"/>
  <c r="D16" i="18"/>
  <c r="C52" i="18"/>
  <c r="D86" i="18"/>
  <c r="D119" i="18"/>
  <c r="B7" i="10"/>
  <c r="D18" i="10" s="1"/>
  <c r="D52" i="18"/>
  <c r="D87" i="18"/>
  <c r="D121" i="18"/>
  <c r="D20" i="18"/>
  <c r="D54" i="18"/>
  <c r="D89" i="18"/>
  <c r="D122" i="18"/>
  <c r="E14" i="8"/>
  <c r="D22" i="18"/>
  <c r="D55" i="18"/>
  <c r="D90" i="18"/>
  <c r="D126" i="18"/>
  <c r="D23" i="18"/>
  <c r="D57" i="18"/>
  <c r="D94" i="18"/>
  <c r="D127" i="18"/>
  <c r="D5" i="17"/>
  <c r="G5" i="17" s="1"/>
  <c r="D38" i="18"/>
  <c r="D68" i="18"/>
  <c r="D100" i="18"/>
  <c r="D128" i="18"/>
  <c r="D4" i="17"/>
  <c r="G4" i="17" s="1"/>
  <c r="B6" i="8"/>
  <c r="M5" i="5"/>
  <c r="N5" i="5" s="1"/>
  <c r="B3" i="19"/>
  <c r="B11" i="19" s="1"/>
  <c r="K31" i="8" s="1"/>
  <c r="B6" i="21"/>
  <c r="D6" i="17"/>
  <c r="G6" i="17" s="1"/>
  <c r="D41" i="18"/>
  <c r="D71" i="18"/>
  <c r="D103" i="18"/>
  <c r="M3" i="5"/>
  <c r="K59" i="8" s="1"/>
  <c r="M4" i="5"/>
  <c r="K60" i="8" s="1"/>
  <c r="E92" i="5"/>
  <c r="F92" i="5" s="1"/>
  <c r="C126" i="18"/>
  <c r="C110" i="18"/>
  <c r="C94" i="18"/>
  <c r="C78" i="18"/>
  <c r="C62" i="18"/>
  <c r="C46" i="18"/>
  <c r="C30" i="18"/>
  <c r="C14" i="18"/>
  <c r="C122" i="18"/>
  <c r="C106" i="18"/>
  <c r="C90" i="18"/>
  <c r="C74" i="18"/>
  <c r="C58" i="18"/>
  <c r="C42" i="18"/>
  <c r="C26" i="18"/>
  <c r="C125" i="18"/>
  <c r="C109" i="18"/>
  <c r="C93" i="18"/>
  <c r="C77" i="18"/>
  <c r="C61" i="18"/>
  <c r="C45" i="18"/>
  <c r="C29" i="18"/>
  <c r="C13" i="18"/>
  <c r="C128" i="18"/>
  <c r="C112" i="18"/>
  <c r="C96" i="18"/>
  <c r="C80" i="18"/>
  <c r="C64" i="18"/>
  <c r="C48" i="18"/>
  <c r="C32" i="18"/>
  <c r="C16" i="18"/>
  <c r="C131" i="18"/>
  <c r="C115" i="18"/>
  <c r="C99" i="18"/>
  <c r="C83" i="18"/>
  <c r="C67" i="18"/>
  <c r="C51" i="18"/>
  <c r="C35" i="18"/>
  <c r="C19" i="18"/>
  <c r="C118" i="18"/>
  <c r="C102" i="18"/>
  <c r="C86" i="18"/>
  <c r="C70" i="18"/>
  <c r="C54" i="18"/>
  <c r="C38" i="18"/>
  <c r="C22" i="18"/>
  <c r="C121" i="18"/>
  <c r="C105" i="18"/>
  <c r="C89" i="18"/>
  <c r="C73" i="18"/>
  <c r="C57" i="18"/>
  <c r="C41" i="18"/>
  <c r="C25" i="18"/>
  <c r="C124" i="18"/>
  <c r="C108" i="18"/>
  <c r="C92" i="18"/>
  <c r="C76" i="18"/>
  <c r="C60" i="18"/>
  <c r="C44" i="18"/>
  <c r="C28" i="18"/>
  <c r="C12" i="18"/>
  <c r="C127" i="18"/>
  <c r="C111" i="18"/>
  <c r="C95" i="18"/>
  <c r="C79" i="18"/>
  <c r="C63" i="18"/>
  <c r="C47" i="18"/>
  <c r="C31" i="18"/>
  <c r="C15" i="18"/>
  <c r="C130" i="18"/>
  <c r="C114" i="18"/>
  <c r="C98" i="18"/>
  <c r="C82" i="18"/>
  <c r="C66" i="18"/>
  <c r="C50" i="18"/>
  <c r="C34" i="18"/>
  <c r="C18" i="18"/>
  <c r="B7" i="18"/>
  <c r="C117" i="18"/>
  <c r="C101" i="18"/>
  <c r="C85" i="18"/>
  <c r="C69" i="18"/>
  <c r="C53" i="18"/>
  <c r="C37" i="18"/>
  <c r="C21" i="18"/>
  <c r="C120" i="18"/>
  <c r="C104" i="18"/>
  <c r="C88" i="18"/>
  <c r="C72" i="18"/>
  <c r="C56" i="18"/>
  <c r="C40" i="18"/>
  <c r="C24" i="18"/>
  <c r="C84" i="18"/>
  <c r="C23" i="18"/>
  <c r="C43" i="18"/>
  <c r="C55" i="18"/>
  <c r="C75" i="18"/>
  <c r="C87" i="18"/>
  <c r="C107" i="18"/>
  <c r="C119" i="18"/>
  <c r="C33" i="18"/>
  <c r="C65" i="18"/>
  <c r="C97" i="18"/>
  <c r="C129" i="18"/>
  <c r="D4" i="8"/>
  <c r="B5" i="22"/>
  <c r="B4" i="22"/>
  <c r="B6" i="20"/>
  <c r="B5" i="20"/>
  <c r="K36" i="8" s="1"/>
  <c r="B4" i="20"/>
  <c r="K35" i="8" s="1"/>
  <c r="C36" i="18"/>
  <c r="B4" i="14"/>
  <c r="C27" i="18"/>
  <c r="C39" i="18"/>
  <c r="C59" i="18"/>
  <c r="C71" i="18"/>
  <c r="C91" i="18"/>
  <c r="C103" i="18"/>
  <c r="C123" i="18"/>
  <c r="C68" i="18"/>
  <c r="C17" i="18"/>
  <c r="C49" i="18"/>
  <c r="C81" i="18"/>
  <c r="C113" i="18"/>
  <c r="C20" i="10"/>
  <c r="C16" i="10"/>
  <c r="C12" i="10"/>
  <c r="C23" i="10"/>
  <c r="C19" i="10"/>
  <c r="C15" i="10"/>
  <c r="C22" i="10"/>
  <c r="C14" i="10"/>
  <c r="C18" i="10"/>
  <c r="C21" i="10"/>
  <c r="C17" i="10"/>
  <c r="C13" i="10"/>
  <c r="C100" i="18"/>
  <c r="D27" i="18"/>
  <c r="D43" i="18"/>
  <c r="D59" i="18"/>
  <c r="D75" i="18"/>
  <c r="D91" i="18"/>
  <c r="D107" i="18"/>
  <c r="D123" i="18"/>
  <c r="D24" i="18"/>
  <c r="D40" i="18"/>
  <c r="D56" i="18"/>
  <c r="D72" i="18"/>
  <c r="D88" i="18"/>
  <c r="D104" i="18"/>
  <c r="D120" i="18"/>
  <c r="D21" i="18"/>
  <c r="D37" i="18"/>
  <c r="D53" i="18"/>
  <c r="D69" i="18"/>
  <c r="D85" i="18"/>
  <c r="D101" i="18"/>
  <c r="D117" i="18"/>
  <c r="D18" i="18"/>
  <c r="D34" i="18"/>
  <c r="D50" i="18"/>
  <c r="D66" i="18"/>
  <c r="D82" i="18"/>
  <c r="D98" i="18"/>
  <c r="D114" i="18"/>
  <c r="D130" i="18"/>
  <c r="B12" i="22"/>
  <c r="B5" i="14"/>
  <c r="B7" i="14" s="1"/>
  <c r="D12" i="18"/>
  <c r="D28" i="18"/>
  <c r="D44" i="18"/>
  <c r="D60" i="18"/>
  <c r="D76" i="18"/>
  <c r="D92" i="18"/>
  <c r="D108" i="18"/>
  <c r="D124" i="18"/>
  <c r="B4" i="23"/>
  <c r="B7" i="20"/>
  <c r="B11" i="20" s="1"/>
  <c r="K38" i="8" s="1"/>
  <c r="D19" i="18"/>
  <c r="D35" i="18"/>
  <c r="D51" i="18"/>
  <c r="D67" i="18"/>
  <c r="D83" i="18"/>
  <c r="D99" i="18"/>
  <c r="D115" i="18"/>
  <c r="D131" i="18"/>
  <c r="B3" i="21"/>
  <c r="B3" i="10"/>
  <c r="B3" i="18"/>
  <c r="B12" i="18" s="1"/>
  <c r="D13" i="18"/>
  <c r="D29" i="18"/>
  <c r="D45" i="18"/>
  <c r="D61" i="18"/>
  <c r="D77" i="18"/>
  <c r="D93" i="18"/>
  <c r="D109" i="18"/>
  <c r="D125" i="18"/>
  <c r="D17" i="18"/>
  <c r="D33" i="18"/>
  <c r="D49" i="18"/>
  <c r="D65" i="18"/>
  <c r="D81" i="18"/>
  <c r="D97" i="18"/>
  <c r="D113" i="18"/>
  <c r="D13" i="10" l="1"/>
  <c r="D12" i="10"/>
  <c r="D17" i="10"/>
  <c r="D14" i="10"/>
  <c r="B5" i="19"/>
  <c r="B10" i="19" s="1"/>
  <c r="K30" i="8" s="1"/>
  <c r="D20" i="10"/>
  <c r="D16" i="10"/>
  <c r="D19" i="10"/>
  <c r="D23" i="10"/>
  <c r="D21" i="10"/>
  <c r="D22" i="10"/>
  <c r="D15" i="10"/>
  <c r="K61" i="8"/>
  <c r="B12" i="19"/>
  <c r="K32" i="8" s="1"/>
  <c r="M7" i="5"/>
  <c r="K62" i="8" s="1"/>
  <c r="N4" i="5"/>
  <c r="E12" i="18"/>
  <c r="B13" i="18" s="1"/>
  <c r="E13" i="18" s="1"/>
  <c r="N3" i="5"/>
  <c r="B8" i="14"/>
  <c r="K7" i="8" s="1"/>
  <c r="K6" i="8"/>
  <c r="E5" i="18"/>
  <c r="B12" i="21"/>
  <c r="B11" i="21"/>
  <c r="K41" i="8" s="1"/>
  <c r="B7" i="23"/>
  <c r="B6" i="23"/>
  <c r="E9" i="10"/>
  <c r="E6" i="10"/>
  <c r="E7" i="10"/>
  <c r="E5" i="10"/>
  <c r="B12" i="10"/>
  <c r="E8" i="10"/>
  <c r="B8" i="20"/>
  <c r="K37" i="8"/>
  <c r="K46" i="8"/>
  <c r="B10" i="22"/>
  <c r="B13" i="22" s="1"/>
  <c r="K51" i="8" s="1"/>
  <c r="K47" i="8"/>
  <c r="B9" i="22"/>
  <c r="K50" i="8" s="1"/>
  <c r="E12" i="10" l="1"/>
  <c r="B13" i="10" s="1"/>
  <c r="E13" i="10" s="1"/>
  <c r="B14" i="10" s="1"/>
  <c r="E14" i="10" s="1"/>
  <c r="B15" i="10" s="1"/>
  <c r="E15" i="10" s="1"/>
  <c r="B16" i="10" s="1"/>
  <c r="E16" i="10" s="1"/>
  <c r="B17" i="10" s="1"/>
  <c r="E17" i="10" s="1"/>
  <c r="B18" i="10" s="1"/>
  <c r="E18" i="10" s="1"/>
  <c r="B19" i="10" s="1"/>
  <c r="E19" i="10" s="1"/>
  <c r="B20" i="10" s="1"/>
  <c r="E20" i="10" s="1"/>
  <c r="B21" i="10" s="1"/>
  <c r="E21" i="10" s="1"/>
  <c r="B22" i="10" s="1"/>
  <c r="E22" i="10" s="1"/>
  <c r="B23" i="10" s="1"/>
  <c r="E23" i="10" s="1"/>
  <c r="F12" i="18"/>
  <c r="F8" i="10"/>
  <c r="J8" i="10" s="1"/>
  <c r="K8" i="10" s="1"/>
  <c r="F6" i="10"/>
  <c r="J6" i="10" s="1"/>
  <c r="K6" i="10" s="1"/>
  <c r="F5" i="10"/>
  <c r="J5" i="10" s="1"/>
  <c r="K5" i="10" s="1"/>
  <c r="K9" i="8" s="1"/>
  <c r="F7" i="10"/>
  <c r="J7" i="10" s="1"/>
  <c r="K7" i="10" s="1"/>
  <c r="F5" i="18"/>
  <c r="K28" i="8" s="1"/>
  <c r="F9" i="10"/>
  <c r="J9" i="10" s="1"/>
  <c r="K9" i="10" s="1"/>
  <c r="K53" i="8"/>
  <c r="B12" i="23"/>
  <c r="K56" i="8" s="1"/>
  <c r="B8" i="23"/>
  <c r="B9" i="23" s="1"/>
  <c r="B10" i="23" s="1"/>
  <c r="K42" i="8"/>
  <c r="B13" i="21"/>
  <c r="B14" i="18"/>
  <c r="E14" i="18" s="1"/>
  <c r="F13" i="18"/>
  <c r="G7" i="10" l="1"/>
  <c r="K54" i="8"/>
  <c r="B11" i="23"/>
  <c r="K55" i="8" s="1"/>
  <c r="G9" i="10"/>
  <c r="G5" i="18"/>
  <c r="G5" i="10"/>
  <c r="G6" i="10"/>
  <c r="B15" i="18"/>
  <c r="E15" i="18" s="1"/>
  <c r="F14" i="18"/>
  <c r="K43" i="8"/>
  <c r="B14" i="21"/>
  <c r="K44" i="8" s="1"/>
  <c r="G8" i="10"/>
  <c r="B16" i="18" l="1"/>
  <c r="E16" i="18" s="1"/>
  <c r="F15" i="18"/>
  <c r="B17" i="18" l="1"/>
  <c r="E17" i="18" s="1"/>
  <c r="F16" i="18"/>
  <c r="B18" i="18" l="1"/>
  <c r="E18" i="18" s="1"/>
  <c r="F17" i="18"/>
  <c r="B19" i="18" l="1"/>
  <c r="E19" i="18" s="1"/>
  <c r="F18" i="18"/>
  <c r="F19" i="18" l="1"/>
  <c r="B20" i="18"/>
  <c r="E20" i="18" s="1"/>
  <c r="B21" i="18" l="1"/>
  <c r="E21" i="18" s="1"/>
  <c r="F20" i="18"/>
  <c r="B22" i="18" l="1"/>
  <c r="E22" i="18" s="1"/>
  <c r="F21" i="18"/>
  <c r="B23" i="18" l="1"/>
  <c r="E23" i="18" s="1"/>
  <c r="F22" i="18"/>
  <c r="F23" i="18" l="1"/>
  <c r="B24" i="18"/>
  <c r="E24" i="18" s="1"/>
  <c r="B25" i="18" l="1"/>
  <c r="E25" i="18" s="1"/>
  <c r="F24" i="18"/>
  <c r="B26" i="18" l="1"/>
  <c r="E26" i="18" s="1"/>
  <c r="F25" i="18"/>
  <c r="B27" i="18" l="1"/>
  <c r="E27" i="18" s="1"/>
  <c r="F26" i="18"/>
  <c r="B28" i="18" l="1"/>
  <c r="E28" i="18" s="1"/>
  <c r="F27" i="18"/>
  <c r="B29" i="18" l="1"/>
  <c r="E29" i="18" s="1"/>
  <c r="F28" i="18"/>
  <c r="F29" i="18" l="1"/>
  <c r="B30" i="18"/>
  <c r="E30" i="18" s="1"/>
  <c r="B31" i="18" l="1"/>
  <c r="E31" i="18" s="1"/>
  <c r="F30" i="18"/>
  <c r="B32" i="18" l="1"/>
  <c r="E32" i="18" s="1"/>
  <c r="F31" i="18"/>
  <c r="B33" i="18" l="1"/>
  <c r="E33" i="18" s="1"/>
  <c r="F32" i="18"/>
  <c r="B34" i="18" l="1"/>
  <c r="E34" i="18" s="1"/>
  <c r="F33" i="18"/>
  <c r="B35" i="18" l="1"/>
  <c r="E35" i="18" s="1"/>
  <c r="F34" i="18"/>
  <c r="F35" i="18" l="1"/>
  <c r="B36" i="18"/>
  <c r="E36" i="18" s="1"/>
  <c r="B37" i="18" l="1"/>
  <c r="E37" i="18" s="1"/>
  <c r="F36" i="18"/>
  <c r="B38" i="18" l="1"/>
  <c r="E38" i="18" s="1"/>
  <c r="F37" i="18"/>
  <c r="B39" i="18" l="1"/>
  <c r="E39" i="18" s="1"/>
  <c r="F38" i="18"/>
  <c r="F39" i="18" l="1"/>
  <c r="B40" i="18"/>
  <c r="E40" i="18" s="1"/>
  <c r="B41" i="18" l="1"/>
  <c r="E41" i="18" s="1"/>
  <c r="F40" i="18"/>
  <c r="B42" i="18" l="1"/>
  <c r="E42" i="18" s="1"/>
  <c r="F41" i="18"/>
  <c r="B43" i="18" l="1"/>
  <c r="E43" i="18" s="1"/>
  <c r="F42" i="18"/>
  <c r="B44" i="18" l="1"/>
  <c r="E44" i="18" s="1"/>
  <c r="F43" i="18"/>
  <c r="B45" i="18" l="1"/>
  <c r="E45" i="18" s="1"/>
  <c r="F44" i="18"/>
  <c r="B46" i="18" l="1"/>
  <c r="E46" i="18" s="1"/>
  <c r="F45" i="18"/>
  <c r="B47" i="18" l="1"/>
  <c r="E47" i="18" s="1"/>
  <c r="F46" i="18"/>
  <c r="B48" i="18" l="1"/>
  <c r="E48" i="18" s="1"/>
  <c r="F47" i="18"/>
  <c r="B49" i="18" l="1"/>
  <c r="E49" i="18" s="1"/>
  <c r="F48" i="18"/>
  <c r="B50" i="18" l="1"/>
  <c r="E50" i="18" s="1"/>
  <c r="F49" i="18"/>
  <c r="B51" i="18" l="1"/>
  <c r="E51" i="18" s="1"/>
  <c r="F50" i="18"/>
  <c r="F51" i="18" l="1"/>
  <c r="B52" i="18"/>
  <c r="E52" i="18" s="1"/>
  <c r="B53" i="18" l="1"/>
  <c r="E53" i="18" s="1"/>
  <c r="F52" i="18"/>
  <c r="B54" i="18" l="1"/>
  <c r="E54" i="18" s="1"/>
  <c r="F53" i="18"/>
  <c r="B55" i="18" l="1"/>
  <c r="E55" i="18" s="1"/>
  <c r="F54" i="18"/>
  <c r="F55" i="18" l="1"/>
  <c r="B56" i="18"/>
  <c r="E56" i="18" s="1"/>
  <c r="B57" i="18" l="1"/>
  <c r="E57" i="18" s="1"/>
  <c r="F56" i="18"/>
  <c r="B58" i="18" l="1"/>
  <c r="E58" i="18" s="1"/>
  <c r="F57" i="18"/>
  <c r="B59" i="18" l="1"/>
  <c r="E59" i="18" s="1"/>
  <c r="F58" i="18"/>
  <c r="B60" i="18" l="1"/>
  <c r="E60" i="18" s="1"/>
  <c r="F59" i="18"/>
  <c r="B61" i="18" l="1"/>
  <c r="E61" i="18" s="1"/>
  <c r="F60" i="18"/>
  <c r="F61" i="18" l="1"/>
  <c r="B62" i="18"/>
  <c r="E62" i="18" s="1"/>
  <c r="B63" i="18" l="1"/>
  <c r="E63" i="18" s="1"/>
  <c r="F62" i="18"/>
  <c r="B64" i="18" l="1"/>
  <c r="E64" i="18" s="1"/>
  <c r="F63" i="18"/>
  <c r="B65" i="18" l="1"/>
  <c r="E65" i="18" s="1"/>
  <c r="F64" i="18"/>
  <c r="B66" i="18" l="1"/>
  <c r="E66" i="18" s="1"/>
  <c r="F65" i="18"/>
  <c r="B67" i="18" l="1"/>
  <c r="E67" i="18" s="1"/>
  <c r="F66" i="18"/>
  <c r="F67" i="18" l="1"/>
  <c r="B68" i="18"/>
  <c r="E68" i="18" s="1"/>
  <c r="B69" i="18" l="1"/>
  <c r="E69" i="18" s="1"/>
  <c r="F68" i="18"/>
  <c r="B70" i="18" l="1"/>
  <c r="E70" i="18" s="1"/>
  <c r="F69" i="18"/>
  <c r="B71" i="18" l="1"/>
  <c r="E71" i="18" s="1"/>
  <c r="F70" i="18"/>
  <c r="F71" i="18" l="1"/>
  <c r="B72" i="18"/>
  <c r="E72" i="18" s="1"/>
  <c r="B73" i="18" l="1"/>
  <c r="E73" i="18" s="1"/>
  <c r="F72" i="18"/>
  <c r="B74" i="18" l="1"/>
  <c r="E74" i="18" s="1"/>
  <c r="F73" i="18"/>
  <c r="B75" i="18" l="1"/>
  <c r="E75" i="18" s="1"/>
  <c r="F74" i="18"/>
  <c r="B76" i="18" l="1"/>
  <c r="E76" i="18" s="1"/>
  <c r="F75" i="18"/>
  <c r="B77" i="18" l="1"/>
  <c r="E77" i="18" s="1"/>
  <c r="F76" i="18"/>
  <c r="B78" i="18" l="1"/>
  <c r="E78" i="18" s="1"/>
  <c r="F77" i="18"/>
  <c r="B79" i="18" l="1"/>
  <c r="E79" i="18" s="1"/>
  <c r="F78" i="18"/>
  <c r="B80" i="18" l="1"/>
  <c r="E80" i="18" s="1"/>
  <c r="F79" i="18"/>
  <c r="B81" i="18" l="1"/>
  <c r="E81" i="18" s="1"/>
  <c r="F80" i="18"/>
  <c r="B82" i="18" l="1"/>
  <c r="E82" i="18" s="1"/>
  <c r="F81" i="18"/>
  <c r="B83" i="18" l="1"/>
  <c r="E83" i="18" s="1"/>
  <c r="F82" i="18"/>
  <c r="F83" i="18" l="1"/>
  <c r="B84" i="18"/>
  <c r="E84" i="18" s="1"/>
  <c r="B85" i="18" l="1"/>
  <c r="E85" i="18" s="1"/>
  <c r="F84" i="18"/>
  <c r="B86" i="18" l="1"/>
  <c r="E86" i="18" s="1"/>
  <c r="F85" i="18"/>
  <c r="B87" i="18" l="1"/>
  <c r="E87" i="18" s="1"/>
  <c r="F86" i="18"/>
  <c r="F87" i="18" l="1"/>
  <c r="B88" i="18"/>
  <c r="E88" i="18" s="1"/>
  <c r="B89" i="18" l="1"/>
  <c r="E89" i="18" s="1"/>
  <c r="F88" i="18"/>
  <c r="B90" i="18" l="1"/>
  <c r="E90" i="18" s="1"/>
  <c r="F89" i="18"/>
  <c r="B91" i="18" l="1"/>
  <c r="E91" i="18" s="1"/>
  <c r="F90" i="18"/>
  <c r="B92" i="18" l="1"/>
  <c r="E92" i="18" s="1"/>
  <c r="F91" i="18"/>
  <c r="B93" i="18" l="1"/>
  <c r="E93" i="18" s="1"/>
  <c r="F92" i="18"/>
  <c r="F93" i="18" l="1"/>
  <c r="B94" i="18"/>
  <c r="E94" i="18" s="1"/>
  <c r="B95" i="18" l="1"/>
  <c r="E95" i="18" s="1"/>
  <c r="F94" i="18"/>
  <c r="B96" i="18" l="1"/>
  <c r="E96" i="18" s="1"/>
  <c r="F95" i="18"/>
  <c r="B97" i="18" l="1"/>
  <c r="E97" i="18" s="1"/>
  <c r="F96" i="18"/>
  <c r="B98" i="18" l="1"/>
  <c r="E98" i="18" s="1"/>
  <c r="F97" i="18"/>
  <c r="B99" i="18" l="1"/>
  <c r="E99" i="18" s="1"/>
  <c r="F98" i="18"/>
  <c r="F99" i="18" l="1"/>
  <c r="B100" i="18"/>
  <c r="E100" i="18" s="1"/>
  <c r="B101" i="18" l="1"/>
  <c r="E101" i="18" s="1"/>
  <c r="F100" i="18"/>
  <c r="B102" i="18" l="1"/>
  <c r="E102" i="18" s="1"/>
  <c r="F101" i="18"/>
  <c r="B103" i="18" l="1"/>
  <c r="E103" i="18" s="1"/>
  <c r="F102" i="18"/>
  <c r="F103" i="18" l="1"/>
  <c r="B104" i="18"/>
  <c r="E104" i="18" s="1"/>
  <c r="B105" i="18" l="1"/>
  <c r="E105" i="18" s="1"/>
  <c r="F104" i="18"/>
  <c r="B106" i="18" l="1"/>
  <c r="E106" i="18" s="1"/>
  <c r="F105" i="18"/>
  <c r="B107" i="18" l="1"/>
  <c r="E107" i="18" s="1"/>
  <c r="F106" i="18"/>
  <c r="B108" i="18" l="1"/>
  <c r="E108" i="18" s="1"/>
  <c r="F107" i="18"/>
  <c r="B109" i="18" l="1"/>
  <c r="E109" i="18" s="1"/>
  <c r="F108" i="18"/>
  <c r="B110" i="18" l="1"/>
  <c r="E110" i="18" s="1"/>
  <c r="F109" i="18"/>
  <c r="B111" i="18" l="1"/>
  <c r="E111" i="18" s="1"/>
  <c r="F110" i="18"/>
  <c r="B112" i="18" l="1"/>
  <c r="E112" i="18" s="1"/>
  <c r="F111" i="18"/>
  <c r="B113" i="18" l="1"/>
  <c r="E113" i="18" s="1"/>
  <c r="F112" i="18"/>
  <c r="B114" i="18" l="1"/>
  <c r="E114" i="18" s="1"/>
  <c r="F113" i="18"/>
  <c r="B115" i="18" l="1"/>
  <c r="E115" i="18" s="1"/>
  <c r="F114" i="18"/>
  <c r="F115" i="18" l="1"/>
  <c r="B116" i="18"/>
  <c r="E116" i="18" s="1"/>
  <c r="B117" i="18" l="1"/>
  <c r="E117" i="18" s="1"/>
  <c r="F116" i="18"/>
  <c r="B118" i="18" l="1"/>
  <c r="E118" i="18" s="1"/>
  <c r="F117" i="18"/>
  <c r="B119" i="18" l="1"/>
  <c r="E119" i="18" s="1"/>
  <c r="F118" i="18"/>
  <c r="F119" i="18" l="1"/>
  <c r="B120" i="18"/>
  <c r="E120" i="18" s="1"/>
  <c r="B121" i="18" l="1"/>
  <c r="E121" i="18" s="1"/>
  <c r="F120" i="18"/>
  <c r="B122" i="18" l="1"/>
  <c r="E122" i="18" s="1"/>
  <c r="F121" i="18"/>
  <c r="B123" i="18" l="1"/>
  <c r="E123" i="18" s="1"/>
  <c r="F122" i="18"/>
  <c r="B124" i="18" l="1"/>
  <c r="E124" i="18" s="1"/>
  <c r="F123" i="18"/>
  <c r="B125" i="18" l="1"/>
  <c r="E125" i="18" s="1"/>
  <c r="F124" i="18"/>
  <c r="F125" i="18" l="1"/>
  <c r="B126" i="18"/>
  <c r="E126" i="18" s="1"/>
  <c r="B127" i="18" l="1"/>
  <c r="E127" i="18" s="1"/>
  <c r="F126" i="18"/>
  <c r="B128" i="18" l="1"/>
  <c r="E128" i="18" s="1"/>
  <c r="F127" i="18"/>
  <c r="B129" i="18" l="1"/>
  <c r="E129" i="18" s="1"/>
  <c r="F128" i="18"/>
  <c r="B130" i="18" l="1"/>
  <c r="E130" i="18" s="1"/>
  <c r="F129" i="18"/>
  <c r="B131" i="18" l="1"/>
  <c r="E131" i="18" s="1"/>
  <c r="F131" i="18" s="1"/>
  <c r="F130" i="18"/>
</calcChain>
</file>

<file path=xl/sharedStrings.xml><?xml version="1.0" encoding="utf-8"?>
<sst xmlns="http://schemas.openxmlformats.org/spreadsheetml/2006/main" count="676" uniqueCount="547">
  <si>
    <t>Data</t>
  </si>
  <si>
    <t>Saldo Inicial ($)</t>
  </si>
  <si>
    <t>Lucro do Dia ($)</t>
  </si>
  <si>
    <t>Lucro Acumulado do Mês ($)</t>
  </si>
  <si>
    <t>Recuperação (%)</t>
  </si>
  <si>
    <t>Estado</t>
  </si>
  <si>
    <t>Equity Mínima do Dia Corretora ($)</t>
  </si>
  <si>
    <t>Drawdown Diário ($)</t>
  </si>
  <si>
    <t>Drawdown Diário (%)</t>
  </si>
  <si>
    <t>Observações</t>
  </si>
  <si>
    <t>Métricas Quantitativas</t>
  </si>
  <si>
    <t>Métrica</t>
  </si>
  <si>
    <t>Valor</t>
  </si>
  <si>
    <t>Classificação</t>
  </si>
  <si>
    <t>Recovery Factor</t>
  </si>
  <si>
    <t>Ulcer Index</t>
  </si>
  <si>
    <t>MAR Ratio</t>
  </si>
  <si>
    <t>Alerta de Risco</t>
  </si>
  <si>
    <t>Monitor automático</t>
  </si>
  <si>
    <t>Novo preenchimento diário:</t>
  </si>
  <si>
    <t>Preencher apenas: Data, Saldo Inicial, Lucro do Dia, Equity Mínima do Dia e Observações.</t>
  </si>
  <si>
    <t>O Drawdown Diário ($) e o Drawdown Diário (%) são automáticos.</t>
  </si>
  <si>
    <t>TRADING SYSTEM CONTROL</t>
  </si>
  <si>
    <t>Sistema de Gestão e Monitorização</t>
  </si>
  <si>
    <t>Este ficheiro foi criado para gerir o sistema de trading de forma disciplinada.</t>
  </si>
  <si>
    <t>Componentes do Sistema:</t>
  </si>
  <si>
    <t>• Dashboard executivo</t>
  </si>
  <si>
    <t>• Registo diário de resultados</t>
  </si>
  <si>
    <t>• Controlo de risco e drawdown</t>
  </si>
  <si>
    <t>• Gestão de ciclos negativos</t>
  </si>
  <si>
    <t>• Controlo de crescimento da conta</t>
  </si>
  <si>
    <t>• Planeamento de aumento de lote</t>
  </si>
  <si>
    <t>• Projeções de crescimento</t>
  </si>
  <si>
    <t>Utilização recomendada:</t>
  </si>
  <si>
    <t>• Preencher apenas células amarelas.</t>
  </si>
  <si>
    <t>• Não alterar células bloqueadas.</t>
  </si>
  <si>
    <t>• Atualizar o registo diário.</t>
  </si>
  <si>
    <t>• Rever o sistema no final de cada mês.</t>
  </si>
  <si>
    <t>GUIA RÁPIDO DE UTILIZAÇÃO</t>
  </si>
  <si>
    <t>Objetivo</t>
  </si>
  <si>
    <t>Usar o ficheiro de forma simples, sem erros de preenchimento e sem decisões impulsivas.</t>
  </si>
  <si>
    <t>ROTINA DIÁRIA (2 min)</t>
  </si>
  <si>
    <t>• Aba: Registo Diário</t>
  </si>
  <si>
    <t>• Preencher apenas: Data, Saldo Inicial, Lucro do Dia, Equity Mínima do Dia e Observações.</t>
  </si>
  <si>
    <t>• Não mexer em: Lucro Acumulado, Recuperação, Estado, Drawdown Diário ($) e Drawdown Diário (%).</t>
  </si>
  <si>
    <t>• No fim do dia basta registar os valores e fechar.</t>
  </si>
  <si>
    <t>ROTINA SEMANAL (5 min)</t>
  </si>
  <si>
    <t>• Aba: Semaforo Semanal</t>
  </si>
  <si>
    <t>• Preencher: Semana, Saldo Inicial, Saldo Final, Drawdown Máx (%) e Stop 8% (Sim/Não).</t>
  </si>
  <si>
    <t>• Interpretar: 🟢 saudável | 🟡 atenção | 🔴 rever.</t>
  </si>
  <si>
    <t>• Não alterar o setup por causa de uma única semana.</t>
  </si>
  <si>
    <t>ROTINA MENSAL (10 min)</t>
  </si>
  <si>
    <t>• Aba: Controlo Mensal</t>
  </si>
  <si>
    <t>• Preencher: Mês, Saldo Inicial, Aporte, Lucro do Mês, Drawdown Máx, Ciclo Negativo? e Observações.</t>
  </si>
  <si>
    <t>• Depois verificar no Dashboard: metas, score de saúde, stress e recomendação de lote.</t>
  </si>
  <si>
    <t>• Só no fim do mês avaliar aumento de lote ou expansão de pares.</t>
  </si>
  <si>
    <t>ROTINA TRIMESTRAL (15 min)</t>
  </si>
  <si>
    <t>• Aba: Revisao Trimestral</t>
  </si>
  <si>
    <t>• Preencher: Capital Inicial, Capital Final, Máx DD, Ciclos Negativos, Decisão e Observações.</t>
  </si>
  <si>
    <t>• Aba: Historico Decisoes</t>
  </si>
  <si>
    <t>• Registar qualquer mudança relevante feita no sistema.</t>
  </si>
  <si>
    <t>LEGENDA DE CORES</t>
  </si>
  <si>
    <t>Amarelo</t>
  </si>
  <si>
    <t>Campo para preencher</t>
  </si>
  <si>
    <t>Cinza / Azul</t>
  </si>
  <si>
    <t>Campo automático / não mexer</t>
  </si>
  <si>
    <t>REGRAS DE OURO</t>
  </si>
  <si>
    <t>• Não mexer no setup durante o mês.</t>
  </si>
  <si>
    <t>• Não aumentar lote antes de target + mês positivo.</t>
  </si>
  <si>
    <t>• Não adicionar AUDUSD antes de 250$.</t>
  </si>
  <si>
    <t>• Não adicionar USDCHF antes de 350$.</t>
  </si>
  <si>
    <t>• Retirar rendimento apenas do lucro, nunca do capital principal.</t>
  </si>
  <si>
    <t>• Aceitar ciclos negativos como parte normal do sistema.</t>
  </si>
  <si>
    <t>ROTINA DE 60 SEGUNDOS</t>
  </si>
  <si>
    <t>• 1. Confirmar AutoTrading ativo e EA sorridente.</t>
  </si>
  <si>
    <t>• 2. Verificar Experts/Journal para confirmar que não há erros recentes.</t>
  </si>
  <si>
    <t>• 3. Confirmar se o EA abriu/fechou posições hoje.</t>
  </si>
  <si>
    <t>• 4. Ver quantas posições estão abertas e se o número é normal.</t>
  </si>
  <si>
    <t>• 5. Comparar Balance vs Equity para perceber o drawdown atual.</t>
  </si>
  <si>
    <t>• 6. Ver se o mercado/spread está normal.</t>
  </si>
  <si>
    <t>• 7. Registar no Excel: Data, Saldo Inicial, Lucro do Dia, Equity Mínima e Observações.</t>
  </si>
  <si>
    <t>MÉTODO 1 — EXPORTAÇÃO MT4 → EXCEL (SEM CUSTO)</t>
  </si>
  <si>
    <t>• 1. No MT4 abrir: Account History.</t>
  </si>
  <si>
    <t>• 2. Botão direito do rato → Save as Report ou Save as Detailed Report.</t>
  </si>
  <si>
    <t>• 3. Guardar o ficheiro do relatório.</t>
  </si>
  <si>
    <t>• 4. Usar o relatório para ver lucro do dia, saldo e equity mínima.</t>
  </si>
  <si>
    <t>• 5. Preencher manualmente no Excel os campos amarelos.</t>
  </si>
  <si>
    <t>• 6. Não há custo nem programação neste método.</t>
  </si>
  <si>
    <t>NOTA SOBRE O BÓNUS</t>
  </si>
  <si>
    <t>• O bónus pode ser usado para negociar, mas não conta como capital real.</t>
  </si>
  <si>
    <t>• O ficheiro usa o Capital Real (saldo - bónus) para risco, lote e projeções.</t>
  </si>
  <si>
    <t>PROFIT LOCK</t>
  </si>
  <si>
    <t>• Começa a usar a partir de 300$.</t>
  </si>
  <si>
    <t>• Protege 30% do lucro acumulado.</t>
  </si>
  <si>
    <t>• Se tocar no lock: parar o sistema e analisar.</t>
  </si>
  <si>
    <t>Painel de Controlo do Sistema</t>
  </si>
  <si>
    <t>Capital Atual ($)</t>
  </si>
  <si>
    <t>Aporte Mensal ($)</t>
  </si>
  <si>
    <t>Meta Diária Média ($)</t>
  </si>
  <si>
    <t>Meta Mensal Conservadora ($)</t>
  </si>
  <si>
    <t>Meta Mensal Boa ($)</t>
  </si>
  <si>
    <t>Meta Mensal Excelente ($)</t>
  </si>
  <si>
    <t>Nota sobre bónus</t>
  </si>
  <si>
    <t>Último Ciclo Negativo ($)</t>
  </si>
  <si>
    <t>O bónus pode ser usado para negociar, mas não conta como capital real.</t>
  </si>
  <si>
    <t>Meta Zona Verde (1.5x ciclo) ($)</t>
  </si>
  <si>
    <t>Usar Capital Real para risco, drawdown, lote e projeções.</t>
  </si>
  <si>
    <t>Lote Atual</t>
  </si>
  <si>
    <t>O bónus funciona como margem/colchão extra, não como dinheiro teu.</t>
  </si>
  <si>
    <t>Próximo Lote</t>
  </si>
  <si>
    <t>Próximo Target p/ subir lote ($)</t>
  </si>
  <si>
    <t>Dias de Trading por Mês</t>
  </si>
  <si>
    <t>Data de Início do Plano</t>
  </si>
  <si>
    <t>2026-03-01</t>
  </si>
  <si>
    <t>Bónus da Corretora ($)</t>
  </si>
  <si>
    <t>Capital Real (sem bónus) ($)</t>
  </si>
  <si>
    <t>Manual Operacional do Sistema</t>
  </si>
  <si>
    <t>Objetivo do Sistema</t>
  </si>
  <si>
    <t>Crescer a conta com disciplina, mantendo risco controlado.</t>
  </si>
  <si>
    <t>Aceitar ciclos negativos como parte normal da estatística.</t>
  </si>
  <si>
    <t>Não mexer no setup durante o mês sem motivo estrutural.</t>
  </si>
  <si>
    <t>Regras Fixas</t>
  </si>
  <si>
    <t>1. Aporte no dia 1 de cada mês.</t>
  </si>
  <si>
    <t>2. Não subir lote antes de mês positivo e target de capital atingido.</t>
  </si>
  <si>
    <t>3. Não adicionar AUDUSD antes de 250$.</t>
  </si>
  <si>
    <t>4. Não adicionar USDCHF antes de 350$.</t>
  </si>
  <si>
    <t>5. Rever o sistema no fecho semanal, mensal e trimestral.</t>
  </si>
  <si>
    <t>Significado dos Campos</t>
  </si>
  <si>
    <t>Aba</t>
  </si>
  <si>
    <t>Campo</t>
  </si>
  <si>
    <t>O que significa</t>
  </si>
  <si>
    <t>Preencher?</t>
  </si>
  <si>
    <t>Observação</t>
  </si>
  <si>
    <t>Config</t>
  </si>
  <si>
    <t>Saldo atual da conta no momento da revisão.</t>
  </si>
  <si>
    <t>Sim</t>
  </si>
  <si>
    <t>Atualizar quando houver mudança real do saldo.</t>
  </si>
  <si>
    <t>Valor do aporte mensal programado.</t>
  </si>
  <si>
    <t>Manter o valor real que colocas todos os meses.</t>
  </si>
  <si>
    <t>Lucro diário médio usado nas projeções.</t>
  </si>
  <si>
    <t>Ajustar só com dados suficientes.</t>
  </si>
  <si>
    <t>Meta Mensal Conservadora / Boa / Excelente</t>
  </si>
  <si>
    <t>Referências de desempenho mensal.</t>
  </si>
  <si>
    <t>Não alterar por impulso.</t>
  </si>
  <si>
    <t>Valor do último reset/ciclo negativo fechado.</t>
  </si>
  <si>
    <t>Atualizar sempre que existir novo ciclo relevante.</t>
  </si>
  <si>
    <t>Meta Zona Verde</t>
  </si>
  <si>
    <t>1.5x o último ciclo negativo.</t>
  </si>
  <si>
    <t>Não</t>
  </si>
  <si>
    <t>Calculado automaticamente.</t>
  </si>
  <si>
    <t>Lote Atual / Próximo Lote</t>
  </si>
  <si>
    <t>Lote em uso e próximo degrau previsto.</t>
  </si>
  <si>
    <t>Só alterar quando a regra for cumprida.</t>
  </si>
  <si>
    <t>Capital mínimo para avaliar aumento de lote.</t>
  </si>
  <si>
    <t>Referência atual para 0.02.</t>
  </si>
  <si>
    <t>Dias de Trading por Mês / Data de Início do Plano</t>
  </si>
  <si>
    <t>Inputs usados nas projeções.</t>
  </si>
  <si>
    <t>Só alterar se a rotina mudar.</t>
  </si>
  <si>
    <t>Registo Diário</t>
  </si>
  <si>
    <t>Data / Saldo Inicial / Lucro do Dia</t>
  </si>
  <si>
    <t>Base de acompanhamento diário.</t>
  </si>
  <si>
    <t>Preencher diariamente.</t>
  </si>
  <si>
    <t>Lucro Acumulado / Recuperação / Estado</t>
  </si>
  <si>
    <t>Indicadores automáticos do mês.</t>
  </si>
  <si>
    <t>Calculados automaticamente.</t>
  </si>
  <si>
    <t>Drawdown Máx do Dia / Observações</t>
  </si>
  <si>
    <t>Mede stress diário e contexto.</t>
  </si>
  <si>
    <t>Muito útil para análise.</t>
  </si>
  <si>
    <t>Controlo Mensal</t>
  </si>
  <si>
    <t>Saldo Inicial / Aporte / Lucro / DD / Ciclo Negativo</t>
  </si>
  <si>
    <t>Resumo mensal do sistema.</t>
  </si>
  <si>
    <t>Preencher no fecho do mês.</t>
  </si>
  <si>
    <t>Controlo Lote</t>
  </si>
  <si>
    <t>Data Atingido</t>
  </si>
  <si>
    <t>Data em que o novo patamar de lote foi atingido.</t>
  </si>
  <si>
    <t>Preencher quando aplicável.</t>
  </si>
  <si>
    <t>Targets</t>
  </si>
  <si>
    <t>Atingido?</t>
  </si>
  <si>
    <t>Mostra se o target de capital foi atingido.</t>
  </si>
  <si>
    <t>Automático.</t>
  </si>
  <si>
    <t>Ciclos Negativos</t>
  </si>
  <si>
    <t>Perda do Ciclo / Nº Máx Posições / Peso do Ciclo</t>
  </si>
  <si>
    <t>Base para medir robustez do sistema.</t>
  </si>
  <si>
    <t>Preencher quando houver reset.</t>
  </si>
  <si>
    <t>Equity vs Drawdown</t>
  </si>
  <si>
    <t>Data / Saldo / Equity / Observação</t>
  </si>
  <si>
    <t>Permite calcular drawdown real.</t>
  </si>
  <si>
    <t>Ideal para registo diário ou semanal.</t>
  </si>
  <si>
    <t>Semaforo Semanal</t>
  </si>
  <si>
    <t>Semana / Saldo Inicial / Final / DD / Stop 8%</t>
  </si>
  <si>
    <t>Mede saúde semanal do sistema.</t>
  </si>
  <si>
    <t>Preencher no fecho da semana.</t>
  </si>
  <si>
    <t>Score de Saude</t>
  </si>
  <si>
    <t>Score Base / Classificação</t>
  </si>
  <si>
    <t>Resumo da saúde do sistema.</t>
  </si>
  <si>
    <t>Projeções</t>
  </si>
  <si>
    <t>Todos os campos de targets e datas</t>
  </si>
  <si>
    <t>Previsão automática com base nos inputs.</t>
  </si>
  <si>
    <t>Revisao Trimestral</t>
  </si>
  <si>
    <t>Capital / Lucro / DD / Decisão</t>
  </si>
  <si>
    <t>Visão trimestral do sistema.</t>
  </si>
  <si>
    <t>Preencher no fim de cada trimestre.</t>
  </si>
  <si>
    <t>Historico Decisoes</t>
  </si>
  <si>
    <t>Tipo de Decisão / Antes / Depois / Motivo</t>
  </si>
  <si>
    <t>Histórico formal de mudanças feitas no sistema.</t>
  </si>
  <si>
    <t>Usar sempre que mudares algo.</t>
  </si>
  <si>
    <t>Cenarios Stress</t>
  </si>
  <si>
    <t>Cenário / Perda / Impacto / Estado</t>
  </si>
  <si>
    <t>Quadro de referência para stress do sistema.</t>
  </si>
  <si>
    <t>Automático / referência.</t>
  </si>
  <si>
    <t>Atualização importante do Registo Diário</t>
  </si>
  <si>
    <t>Equity Mínima do Dia ($): menor valor da equity observado durante o dia.</t>
  </si>
  <si>
    <t>Drawdown Diário ($): calculado automaticamente = Saldo Inicial - Equity Mínima.</t>
  </si>
  <si>
    <t>Drawdown Diário (%): calculado automaticamente = Drawdown Diário / Saldo Inicial.</t>
  </si>
  <si>
    <t>Tratamento do Bónus da Corretora</t>
  </si>
  <si>
    <t>Bónus da Corretora ($): valor oferecido pela corretora que pode ser usado para negociar.</t>
  </si>
  <si>
    <t>Capital Real (sem bónus): saldo total menos o bónus; é este valor que deve contar para risco real.</t>
  </si>
  <si>
    <t>O bónus deve ser visto como margem/colchão extra e não como capital teu.</t>
  </si>
  <si>
    <t>Os lucros obtidos com a ajuda do bónus são teus; o bónus em si não deve contar para subida de lote.</t>
  </si>
  <si>
    <t>Profit Lock</t>
  </si>
  <si>
    <t>O Profit Lock começa a fazer sentido a partir de 300$.</t>
  </si>
  <si>
    <t>A regra atual protege 30% do lucro acumulado.</t>
  </si>
  <si>
    <t>Se a conta tocar ou quebrar o Profit Lock, a decisão recomendada é parar e analisar.</t>
  </si>
  <si>
    <t>O Profit Lock evita devolver demasiado lucro ao mercado quando a conta começa a crescer.</t>
  </si>
  <si>
    <t>Plano de Escala de Lote</t>
  </si>
  <si>
    <t>Faixa de Saldo ($)</t>
  </si>
  <si>
    <t>Lote Recomendado</t>
  </si>
  <si>
    <t>Pode Aplicar?</t>
  </si>
  <si>
    <t>150 - 350</t>
  </si>
  <si>
    <t>Fase atual</t>
  </si>
  <si>
    <t>350 - 700</t>
  </si>
  <si>
    <t>Só após mês positivo</t>
  </si>
  <si>
    <t>700 - 1200</t>
  </si>
  <si>
    <t>Escala progressiva</t>
  </si>
  <si>
    <t>1200 - 2000</t>
  </si>
  <si>
    <t>Manter disciplina</t>
  </si>
  <si>
    <t>Target</t>
  </si>
  <si>
    <t>Capital Alvo ($)</t>
  </si>
  <si>
    <t>Meta Semanal ($)</t>
  </si>
  <si>
    <t>Próximo Marco</t>
  </si>
  <si>
    <t>Adicionar 4.º par só após estabilidade</t>
  </si>
  <si>
    <t>Subida de Lote</t>
  </si>
  <si>
    <t>Avaliar 0.02 apenas após mês positivo</t>
  </si>
  <si>
    <t>Consolidação</t>
  </si>
  <si>
    <t>Sistema mais confortável</t>
  </si>
  <si>
    <t>Escala</t>
  </si>
  <si>
    <t>Possível lote 0.03</t>
  </si>
  <si>
    <t>Objetivo 1</t>
  </si>
  <si>
    <t>Conta com robustez relevante</t>
  </si>
  <si>
    <t>Expansão de Pares</t>
  </si>
  <si>
    <t>Fase</t>
  </si>
  <si>
    <t>Capital Mínimo ($)</t>
  </si>
  <si>
    <t>Par a Adicionar</t>
  </si>
  <si>
    <t>Condição</t>
  </si>
  <si>
    <t>Fase 1</t>
  </si>
  <si>
    <t>AUDUSD</t>
  </si>
  <si>
    <t>Adicionar só após estabilidade e sem mexer no lote</t>
  </si>
  <si>
    <t>Fase 2</t>
  </si>
  <si>
    <t>USDCHF</t>
  </si>
  <si>
    <t>Adicionar apenas após mês positivo e conta estável</t>
  </si>
  <si>
    <t>EXECUTIVE DASHBOARD</t>
  </si>
  <si>
    <t>Capital e Performance</t>
  </si>
  <si>
    <t>Semáforo do Sistema</t>
  </si>
  <si>
    <t>Resumo Executivo</t>
  </si>
  <si>
    <t>Lucro Acumulado Mês ($)</t>
  </si>
  <si>
    <t>Capital Atual</t>
  </si>
  <si>
    <t>Saldo Projetado Fim do Mês ($)</t>
  </si>
  <si>
    <t>Regra:</t>
  </si>
  <si>
    <t>Zona verde quando lucro acumulado ≥ 1.5x último ciclo negativo</t>
  </si>
  <si>
    <t>Lucro Mês</t>
  </si>
  <si>
    <t>Meta Zona Verde ($)</t>
  </si>
  <si>
    <t>Score Saúde</t>
  </si>
  <si>
    <t>Próximo Target ($)</t>
  </si>
  <si>
    <t>Próximo Target</t>
  </si>
  <si>
    <t>Regra: adicionar pares antes de subir lote</t>
  </si>
  <si>
    <t>Data Prevista Próx. Target</t>
  </si>
  <si>
    <t>Saúde do Sistema</t>
  </si>
  <si>
    <t>Alertas Automáticos</t>
  </si>
  <si>
    <t>Expansão Pares</t>
  </si>
  <si>
    <t>Subida de lote</t>
  </si>
  <si>
    <t>Lote</t>
  </si>
  <si>
    <t>Adicionar AUDUSD</t>
  </si>
  <si>
    <t>Adicionar USDCHF</t>
  </si>
  <si>
    <t>Zona de saúde</t>
  </si>
  <si>
    <t>Meta mensal</t>
  </si>
  <si>
    <t>Gestão de Risco</t>
  </si>
  <si>
    <t>Resumo Mensal</t>
  </si>
  <si>
    <t>Lucro Mês Atual ($)</t>
  </si>
  <si>
    <t>Meta Conservadora ($)</t>
  </si>
  <si>
    <t>Meta Boa ($)</t>
  </si>
  <si>
    <t>Meta Excelente ($)</t>
  </si>
  <si>
    <t>Estado da Meta</t>
  </si>
  <si>
    <t>Checklist Rápida</t>
  </si>
  <si>
    <t>Nota</t>
  </si>
  <si>
    <t>Campos amarelos = preencher | cinza/azul = não mexer</t>
  </si>
  <si>
    <t>Não mexer no setup durante o mês</t>
  </si>
  <si>
    <t>Simulação 10k</t>
  </si>
  <si>
    <t>Aporte no dia 1</t>
  </si>
  <si>
    <t>Meses estimados</t>
  </si>
  <si>
    <t>Subir lote só após target + mês positivo</t>
  </si>
  <si>
    <t>Recomendação de lote</t>
  </si>
  <si>
    <t>Adicionar AUDUSD só após 250$</t>
  </si>
  <si>
    <t>Pode subir 0.02?</t>
  </si>
  <si>
    <t>Adicionar USDCHF só após 350$</t>
  </si>
  <si>
    <t>Pode subir 0.03?</t>
  </si>
  <si>
    <t>Aceitar ciclos negativos como parte do sistema</t>
  </si>
  <si>
    <t>Pode subir 0.05?</t>
  </si>
  <si>
    <t>Bónus Corretora</t>
  </si>
  <si>
    <t>Drawdown diário</t>
  </si>
  <si>
    <t>Automático via Equity Mínima do Dia</t>
  </si>
  <si>
    <t>Capital Real</t>
  </si>
  <si>
    <t>Drawdown Semanal</t>
  </si>
  <si>
    <t>Drawdown Mensal</t>
  </si>
  <si>
    <t>Drawdown Histórico</t>
  </si>
  <si>
    <t>Stress do Sistema</t>
  </si>
  <si>
    <t>Plano Rendimentos</t>
  </si>
  <si>
    <t>Retirada sugerida</t>
  </si>
  <si>
    <t>Retirada mensal estimada</t>
  </si>
  <si>
    <t>Lucro a reinvestir</t>
  </si>
  <si>
    <t>Saúde do EA</t>
  </si>
  <si>
    <t>DD histórico máximo</t>
  </si>
  <si>
    <t>DD médio mês</t>
  </si>
  <si>
    <t>Lucro médio diário</t>
  </si>
  <si>
    <t>Ciclos negativos</t>
  </si>
  <si>
    <t>Rácio lucro/DD</t>
  </si>
  <si>
    <t>Classificação final</t>
  </si>
  <si>
    <t>Ativo?</t>
  </si>
  <si>
    <t>Profit Lock ($)</t>
  </si>
  <si>
    <t>Distância ao Lock ($)</t>
  </si>
  <si>
    <t>Alerta</t>
  </si>
  <si>
    <t>Painel das 3 Métricas</t>
  </si>
  <si>
    <t>Leitura rápida</t>
  </si>
  <si>
    <t>Recovery alto = melhor</t>
  </si>
  <si>
    <t>Ulcer baixo = melhor</t>
  </si>
  <si>
    <t>MAR alto = melhor</t>
  </si>
  <si>
    <t>Risco Elevado = rever sistema</t>
  </si>
  <si>
    <t>Controlo Mensal e Revisão do Sistema</t>
  </si>
  <si>
    <t>Mês</t>
  </si>
  <si>
    <t>Aporte ($)</t>
  </si>
  <si>
    <t>Lucro do Mês ($)</t>
  </si>
  <si>
    <t>Saldo Final ($)</t>
  </si>
  <si>
    <t>ROI do Mês (%)</t>
  </si>
  <si>
    <t>Drawdown Máx ($)</t>
  </si>
  <si>
    <t>Drawdown Máx (%)</t>
  </si>
  <si>
    <t>Ciclo Negativo? (S/N)</t>
  </si>
  <si>
    <t>Projeções Automáticas do Sistema</t>
  </si>
  <si>
    <t>Estimativa de datas para targets</t>
  </si>
  <si>
    <t>Data Prevista dos Targets</t>
  </si>
  <si>
    <t>Target ($)</t>
  </si>
  <si>
    <t>Défice ($)</t>
  </si>
  <si>
    <t>Meses Estimados</t>
  </si>
  <si>
    <t>Comentário</t>
  </si>
  <si>
    <t>Data Prevista</t>
  </si>
  <si>
    <t>Lucro Médio Diário ($)</t>
  </si>
  <si>
    <t>Dias de Trading/Mês</t>
  </si>
  <si>
    <t>Lucro Médio Mensal ($)</t>
  </si>
  <si>
    <t>Simulação 12 meses</t>
  </si>
  <si>
    <t>Lucro Estimado ($)</t>
  </si>
  <si>
    <t>Registo de Ciclos Negativos</t>
  </si>
  <si>
    <t>Par(es) Afetado(s)</t>
  </si>
  <si>
    <t>Perda do Ciclo ($)</t>
  </si>
  <si>
    <t>Nº Máx Posições</t>
  </si>
  <si>
    <t>Capital no Momento ($)</t>
  </si>
  <si>
    <t>Peso do Ciclo (%)</t>
  </si>
  <si>
    <t>Notas</t>
  </si>
  <si>
    <t>2026-03</t>
  </si>
  <si>
    <t>EURUSD / GBPUSD</t>
  </si>
  <si>
    <t>Primeiro reset de proteção observado.</t>
  </si>
  <si>
    <t>Saldo ($)</t>
  </si>
  <si>
    <t>Equity ($)</t>
  </si>
  <si>
    <t>Drawdown ($)</t>
  </si>
  <si>
    <t>Drawdown (%)</t>
  </si>
  <si>
    <t>Semáforo Semanal do Sistema</t>
  </si>
  <si>
    <t>Semana</t>
  </si>
  <si>
    <t>Lucro/Prejuízo ($)</t>
  </si>
  <si>
    <t>% Semana</t>
  </si>
  <si>
    <t>Stop 8%?</t>
  </si>
  <si>
    <t>Semáforo</t>
  </si>
  <si>
    <t>Score de Saúde do Sistema</t>
  </si>
  <si>
    <t>Lucro Mensal Atual ($)</t>
  </si>
  <si>
    <t>Leitura do Score</t>
  </si>
  <si>
    <t>85+ = sistema muito saudável</t>
  </si>
  <si>
    <t>Drawdown Máx Registado ($)</t>
  </si>
  <si>
    <t>70-84 = sistema bom</t>
  </si>
  <si>
    <t>55-69 = sistema aceitável</t>
  </si>
  <si>
    <t>&lt;55 = sistema frágil / precisa atenção</t>
  </si>
  <si>
    <t>Score Base</t>
  </si>
  <si>
    <t>Trimestre</t>
  </si>
  <si>
    <t>Capital Inicial ($)</t>
  </si>
  <si>
    <t>Capital Final ($)</t>
  </si>
  <si>
    <t>Lucro Total ($)</t>
  </si>
  <si>
    <t>ROI (%)</t>
  </si>
  <si>
    <t>Máx DD ($)</t>
  </si>
  <si>
    <t>Máx DD (%)</t>
  </si>
  <si>
    <t>Decisão</t>
  </si>
  <si>
    <t>Tipo de Decisão</t>
  </si>
  <si>
    <t>Antes</t>
  </si>
  <si>
    <t>Depois</t>
  </si>
  <si>
    <t>Motivo</t>
  </si>
  <si>
    <t>Aprovado por Dados?</t>
  </si>
  <si>
    <t>Impacto Esperado</t>
  </si>
  <si>
    <t>Cenário</t>
  </si>
  <si>
    <t>Perda Estimada ($)</t>
  </si>
  <si>
    <t>Impacto (%)</t>
  </si>
  <si>
    <t>Decisão Recomendada</t>
  </si>
  <si>
    <t>Ação</t>
  </si>
  <si>
    <t>Ciclo igual ao último</t>
  </si>
  <si>
    <t>Aceitar</t>
  </si>
  <si>
    <t>Não mexer</t>
  </si>
  <si>
    <t>Referência base</t>
  </si>
  <si>
    <t>Ciclo 1.5x pior</t>
  </si>
  <si>
    <t>Aceitar e monitorizar</t>
  </si>
  <si>
    <t>Sem mudanças imediatas</t>
  </si>
  <si>
    <t>Stress elevado</t>
  </si>
  <si>
    <t>Dois ciclos seguidos</t>
  </si>
  <si>
    <t>Rever no fecho do mês</t>
  </si>
  <si>
    <t>Não aumentar lote</t>
  </si>
  <si>
    <t>Condição crítica</t>
  </si>
  <si>
    <t>Conta em 250$</t>
  </si>
  <si>
    <t>250</t>
  </si>
  <si>
    <t>Mais confortável</t>
  </si>
  <si>
    <t>Pode avaliar AUDUSD</t>
  </si>
  <si>
    <t>Meta intermédia</t>
  </si>
  <si>
    <t>Conta em 350$</t>
  </si>
  <si>
    <t>350</t>
  </si>
  <si>
    <t>Sistema robusto</t>
  </si>
  <si>
    <t>Pode avaliar 0.02</t>
  </si>
  <si>
    <t>Meta para lote</t>
  </si>
  <si>
    <t>Simulador de Crescimento até 10 000$</t>
  </si>
  <si>
    <t>Estimativa até 10 000$</t>
  </si>
  <si>
    <t>Objetivo Final ($)</t>
  </si>
  <si>
    <t>Simulação Longo Prazo</t>
  </si>
  <si>
    <t>Meta 10k Atingida?</t>
  </si>
  <si>
    <t>Indicador Automático de Subida de Lote</t>
  </si>
  <si>
    <t>Lógica</t>
  </si>
  <si>
    <t>0.02 só após 350$, mês positivo e ciclo &lt;=15% da conta</t>
  </si>
  <si>
    <t>Peso do Último Ciclo (%)</t>
  </si>
  <si>
    <t>0.03 só após 700$, mês positivo e ciclo &lt;=12% da conta</t>
  </si>
  <si>
    <t>Capital Alvo p/ 0.02 ($)</t>
  </si>
  <si>
    <t>0.05 só após 1200$, mês positivo e ciclo &lt;=10% da conta</t>
  </si>
  <si>
    <t>Capital Alvo p/ 0.03 ($)</t>
  </si>
  <si>
    <t>Se a recomendação disser manter, não subir lote.</t>
  </si>
  <si>
    <t>Capital Alvo p/ 0.05 ($)</t>
  </si>
  <si>
    <t>Mês atual está positivo?</t>
  </si>
  <si>
    <t>Pode subir para 0.02?</t>
  </si>
  <si>
    <t>Pode subir para 0.03?</t>
  </si>
  <si>
    <t>Pode subir para 0.05?</t>
  </si>
  <si>
    <t>Recomendação Atual</t>
  </si>
  <si>
    <t>Drawdown Metrics Automáticas</t>
  </si>
  <si>
    <t>Descrição</t>
  </si>
  <si>
    <t>Drawdown Máximo da Semana ($)</t>
  </si>
  <si>
    <t>Maior drawdown registado nos últimos 7 dias</t>
  </si>
  <si>
    <t>Drawdown Máximo do Mês ($)</t>
  </si>
  <si>
    <t>Maior drawdown registado no mês atual</t>
  </si>
  <si>
    <t>Drawdown Histórico Máximo ($)</t>
  </si>
  <si>
    <t>Pior drawdown já registado desde o início</t>
  </si>
  <si>
    <t>Saldo atual da conta</t>
  </si>
  <si>
    <t>Drawdown Histórico (%)</t>
  </si>
  <si>
    <t>Percentagem do pior drawdown face ao capital</t>
  </si>
  <si>
    <t>Indicador de Stress do Sistema</t>
  </si>
  <si>
    <t>Base de cálculo</t>
  </si>
  <si>
    <t>Opção B – risco saudável até 15% de drawdown</t>
  </si>
  <si>
    <t>Plano de Rendimento Mensal e Retiradas</t>
  </si>
  <si>
    <t>Política de Retiradas</t>
  </si>
  <si>
    <t>Faixa de Capital ($)</t>
  </si>
  <si>
    <t>Retirada do lucro</t>
  </si>
  <si>
    <t>Reinvestimento</t>
  </si>
  <si>
    <t>0 - 1 999</t>
  </si>
  <si>
    <t>Acumulação</t>
  </si>
  <si>
    <t>0%</t>
  </si>
  <si>
    <t>100%</t>
  </si>
  <si>
    <t>Não retirar; foco total em crescimento</t>
  </si>
  <si>
    <t>Lucro Médio Mensal Estimado ($)</t>
  </si>
  <si>
    <t>2 000 - 4 999</t>
  </si>
  <si>
    <t>Rendimento inicial</t>
  </si>
  <si>
    <t>20%</t>
  </si>
  <si>
    <t>80%</t>
  </si>
  <si>
    <t>Retirada simbólica, sem travar crescimento</t>
  </si>
  <si>
    <t>Percentagem máxima de retirada do lucro</t>
  </si>
  <si>
    <t>5 000 - 9 999</t>
  </si>
  <si>
    <t>Rendimento parcial</t>
  </si>
  <si>
    <t>30%</t>
  </si>
  <si>
    <t>70%</t>
  </si>
  <si>
    <t>Já permite rendimento mensal mais relevante</t>
  </si>
  <si>
    <t>10 000+</t>
  </si>
  <si>
    <t>Rendimento estruturado</t>
  </si>
  <si>
    <t>40% a 50%</t>
  </si>
  <si>
    <t>50% a 60%</t>
  </si>
  <si>
    <t>Pode pagar rendimento e continuar a crescer</t>
  </si>
  <si>
    <t>Retirada sugerida do lucro</t>
  </si>
  <si>
    <t>Retirada mensal estimada ($)</t>
  </si>
  <si>
    <t>Lucro a reinvestir ($)</t>
  </si>
  <si>
    <t>Regra</t>
  </si>
  <si>
    <t>Cenários de Rendimento por Capital</t>
  </si>
  <si>
    <t>Capital ($)</t>
  </si>
  <si>
    <t>Lucro 5%/mês ($)</t>
  </si>
  <si>
    <t>Lucro 8%/mês ($)</t>
  </si>
  <si>
    <t>Retirada sugerida ($)</t>
  </si>
  <si>
    <t>Retirar só do lucro, nunca do capital</t>
  </si>
  <si>
    <t>Monitor de Saúde do EA</t>
  </si>
  <si>
    <t>Indicador</t>
  </si>
  <si>
    <t>Regra / Leitura</t>
  </si>
  <si>
    <t>Drawdown histórico máximo ($)</t>
  </si>
  <si>
    <t>Referência base do sistema</t>
  </si>
  <si>
    <t>Drawdown médio do mês ($)</t>
  </si>
  <si>
    <t>Stress médio observado</t>
  </si>
  <si>
    <t>Lucro médio diário ($)</t>
  </si>
  <si>
    <t>Eficiência média diária</t>
  </si>
  <si>
    <t>Lucro do mês atual ($)</t>
  </si>
  <si>
    <t>Produção mensal atual</t>
  </si>
  <si>
    <t>Ciclos negativos registados</t>
  </si>
  <si>
    <t>Número de resets/ciclos relevantes</t>
  </si>
  <si>
    <t>Rácio Lucro / DD</t>
  </si>
  <si>
    <t>Lucro mensal dividido pelo DD médio</t>
  </si>
  <si>
    <t>Sinal de Drawdown</t>
  </si>
  <si>
    <t>Se DD atual &gt; 2x média, atenção</t>
  </si>
  <si>
    <t>Sinal de Ciclos</t>
  </si>
  <si>
    <t>3+ ciclos = alerta</t>
  </si>
  <si>
    <t>Sinal de Lucro Diário</t>
  </si>
  <si>
    <t>Queda do edge diário</t>
  </si>
  <si>
    <t>Classificação Final</t>
  </si>
  <si>
    <t>Painel médico do EA</t>
  </si>
  <si>
    <t>Profit Lock Tracker</t>
  </si>
  <si>
    <t>Exemplo</t>
  </si>
  <si>
    <t>Capital Real Atual ($)</t>
  </si>
  <si>
    <t>Capital real sem bónus</t>
  </si>
  <si>
    <t>Saldo</t>
  </si>
  <si>
    <t>Lucro</t>
  </si>
  <si>
    <t>Lock 30%</t>
  </si>
  <si>
    <t>Lucro Acumulado Atual ($)</t>
  </si>
  <si>
    <t>Lucro acumulado no período registado</t>
  </si>
  <si>
    <t>Saldo Máximo de Referência ($)</t>
  </si>
  <si>
    <t>Capital real + lucro acumulado máximo de referência</t>
  </si>
  <si>
    <t>Ativar Profit Lock?</t>
  </si>
  <si>
    <t>Começar a usar a partir de 300$</t>
  </si>
  <si>
    <t>Percentagem de Lock</t>
  </si>
  <si>
    <t>30% do lucro protegido</t>
  </si>
  <si>
    <t>Lucro Protegido ($)</t>
  </si>
  <si>
    <t>Parte do lucro que fica protegida</t>
  </si>
  <si>
    <t>Capital mínimo protegido</t>
  </si>
  <si>
    <t>Quanto falta até tocar no lock</t>
  </si>
  <si>
    <t>Alerta Profit Lock</t>
  </si>
  <si>
    <t>Ação recomendada</t>
  </si>
  <si>
    <t>Regra Operacional</t>
  </si>
  <si>
    <t>Disciplina de proteção</t>
  </si>
  <si>
    <t>1º Ciclo Negativo</t>
  </si>
  <si>
    <t>JAN-MAR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</si>
</sst>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"/>
    <numFmt numFmtId="166" formatCode="yyyy\-mm\-dd"/>
    <numFmt numFmtId="167" formatCode="0.0%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24"/>
      <color rgb="FFFFFFFF"/>
      <name val="Calibri"/>
    </font>
    <font>
      <b/>
      <sz val="14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5CD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7E6E6"/>
        <bgColor indexed="64"/>
      </patternFill>
    </fill>
    <fill>
      <patternFill patternType="solid">
        <fgColor rgb="FF1F4E78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0" fillId="3" borderId="0" xfId="0" applyFill="1"/>
    <xf numFmtId="0" fontId="3" fillId="2" borderId="0" xfId="0" applyFont="1" applyFill="1" applyAlignment="1">
      <alignment horizontal="center"/>
    </xf>
    <xf numFmtId="164" fontId="0" fillId="0" borderId="0" xfId="0" applyNumberFormat="1"/>
    <xf numFmtId="0" fontId="2" fillId="4" borderId="0" xfId="0" applyFont="1" applyFill="1"/>
    <xf numFmtId="0" fontId="3" fillId="2" borderId="0" xfId="0" applyFont="1" applyFill="1"/>
    <xf numFmtId="0" fontId="0" fillId="5" borderId="0" xfId="0" applyFill="1"/>
    <xf numFmtId="0" fontId="0" fillId="6" borderId="0" xfId="0" applyFill="1"/>
    <xf numFmtId="165" fontId="0" fillId="0" borderId="0" xfId="0" applyNumberFormat="1"/>
    <xf numFmtId="166" fontId="0" fillId="5" borderId="0" xfId="0" applyNumberFormat="1" applyFill="1"/>
    <xf numFmtId="167" fontId="0" fillId="3" borderId="0" xfId="0" applyNumberFormat="1" applyFill="1"/>
    <xf numFmtId="0" fontId="0" fillId="5" borderId="0" xfId="0" applyFill="1" applyProtection="1">
      <protection locked="0"/>
    </xf>
    <xf numFmtId="164" fontId="0" fillId="5" borderId="0" xfId="0" applyNumberFormat="1" applyFill="1" applyProtection="1">
      <protection locked="0"/>
    </xf>
    <xf numFmtId="164" fontId="0" fillId="4" borderId="0" xfId="0" applyNumberFormat="1" applyFill="1"/>
    <xf numFmtId="167" fontId="0" fillId="4" borderId="0" xfId="0" applyNumberFormat="1" applyFill="1"/>
    <xf numFmtId="0" fontId="0" fillId="4" borderId="0" xfId="0" applyFill="1"/>
    <xf numFmtId="167" fontId="0" fillId="5" borderId="0" xfId="0" applyNumberFormat="1" applyFill="1" applyProtection="1">
      <protection locked="0"/>
    </xf>
    <xf numFmtId="165" fontId="0" fillId="4" borderId="0" xfId="0" applyNumberFormat="1" applyFill="1"/>
    <xf numFmtId="166" fontId="0" fillId="4" borderId="0" xfId="0" applyNumberFormat="1" applyFill="1"/>
    <xf numFmtId="0" fontId="2" fillId="7" borderId="1" xfId="0" applyFont="1" applyFill="1" applyBorder="1"/>
    <xf numFmtId="164" fontId="0" fillId="3" borderId="0" xfId="0" applyNumberFormat="1" applyFill="1"/>
    <xf numFmtId="0" fontId="0" fillId="8" borderId="0" xfId="0" applyFill="1"/>
    <xf numFmtId="0" fontId="8" fillId="0" borderId="0" xfId="0" applyFont="1"/>
    <xf numFmtId="9" fontId="0" fillId="5" borderId="0" xfId="0" applyNumberFormat="1" applyFill="1"/>
    <xf numFmtId="164" fontId="0" fillId="5" borderId="0" xfId="0" applyNumberFormat="1" applyFill="1"/>
    <xf numFmtId="9" fontId="0" fillId="0" borderId="0" xfId="0" applyNumberFormat="1"/>
    <xf numFmtId="0" fontId="0" fillId="5" borderId="2" xfId="0" applyFill="1" applyBorder="1"/>
    <xf numFmtId="0" fontId="0" fillId="0" borderId="2" xfId="0" applyBorder="1"/>
    <xf numFmtId="0" fontId="0" fillId="4" borderId="2" xfId="0" applyFill="1" applyBorder="1"/>
    <xf numFmtId="0" fontId="0" fillId="5" borderId="3" xfId="0" applyFill="1" applyBorder="1" applyProtection="1">
      <protection locked="0"/>
    </xf>
    <xf numFmtId="164" fontId="0" fillId="5" borderId="3" xfId="0" applyNumberFormat="1" applyFill="1" applyBorder="1" applyProtection="1">
      <protection locked="0"/>
    </xf>
    <xf numFmtId="164" fontId="0" fillId="4" borderId="3" xfId="0" applyNumberFormat="1" applyFill="1" applyBorder="1"/>
    <xf numFmtId="167" fontId="0" fillId="4" borderId="3" xfId="0" applyNumberFormat="1" applyFill="1" applyBorder="1"/>
    <xf numFmtId="0" fontId="0" fillId="4" borderId="3" xfId="0" applyFill="1" applyBorder="1"/>
    <xf numFmtId="0" fontId="0" fillId="0" borderId="3" xfId="0" applyBorder="1"/>
    <xf numFmtId="167" fontId="0" fillId="5" borderId="3" xfId="0" applyNumberFormat="1" applyFill="1" applyBorder="1" applyProtection="1">
      <protection locked="0"/>
    </xf>
    <xf numFmtId="0" fontId="10" fillId="11" borderId="0" xfId="0" applyFont="1" applyFill="1"/>
    <xf numFmtId="0" fontId="9" fillId="0" borderId="0" xfId="0" applyFont="1"/>
    <xf numFmtId="164" fontId="0" fillId="9" borderId="0" xfId="0" applyNumberFormat="1" applyFill="1"/>
    <xf numFmtId="164" fontId="0" fillId="10" borderId="0" xfId="0" applyNumberFormat="1" applyFill="1"/>
    <xf numFmtId="0" fontId="9" fillId="12" borderId="0" xfId="0" applyFont="1" applyFill="1"/>
    <xf numFmtId="0" fontId="12" fillId="13" borderId="0" xfId="0" applyFont="1" applyFill="1"/>
    <xf numFmtId="0" fontId="13" fillId="16" borderId="0" xfId="0" applyFont="1" applyFill="1"/>
    <xf numFmtId="0" fontId="0" fillId="14" borderId="0" xfId="0" applyFill="1"/>
    <xf numFmtId="164" fontId="0" fillId="14" borderId="0" xfId="0" applyNumberFormat="1" applyFill="1"/>
    <xf numFmtId="0" fontId="0" fillId="17" borderId="0" xfId="0" applyFill="1"/>
    <xf numFmtId="0" fontId="12" fillId="13" borderId="0" xfId="0" applyFont="1" applyFill="1" applyAlignment="1">
      <alignment horizontal="center"/>
    </xf>
    <xf numFmtId="0" fontId="13" fillId="0" borderId="0" xfId="0" applyFont="1"/>
    <xf numFmtId="9" fontId="0" fillId="14" borderId="0" xfId="0" applyNumberFormat="1" applyFill="1"/>
    <xf numFmtId="0" fontId="0" fillId="15" borderId="0" xfId="0" applyFill="1"/>
    <xf numFmtId="16" fontId="0" fillId="5" borderId="3" xfId="0" applyNumberFormat="1" applyFill="1" applyBorder="1" applyProtection="1">
      <protection locked="0"/>
    </xf>
    <xf numFmtId="164" fontId="0" fillId="18" borderId="3" xfId="0" applyNumberFormat="1" applyFill="1" applyBorder="1" applyProtection="1">
      <protection locked="0"/>
    </xf>
    <xf numFmtId="17" fontId="0" fillId="5" borderId="0" xfId="0" applyNumberFormat="1" applyFill="1" applyProtection="1">
      <protection locked="0"/>
    </xf>
    <xf numFmtId="164" fontId="0" fillId="4" borderId="0" xfId="0" applyNumberFormat="1" applyFill="1" applyAlignment="1">
      <alignment horizontal="right"/>
    </xf>
    <xf numFmtId="10" fontId="0" fillId="18" borderId="3" xfId="0" applyNumberFormat="1" applyFill="1" applyBorder="1"/>
    <xf numFmtId="0" fontId="14" fillId="2" borderId="0" xfId="0" applyFont="1" applyFill="1" applyAlignment="1">
      <alignment horizontal="center"/>
    </xf>
    <xf numFmtId="0" fontId="16" fillId="19" borderId="4" xfId="0" applyFont="1" applyFill="1" applyBorder="1" applyAlignment="1">
      <alignment horizontal="center"/>
    </xf>
    <xf numFmtId="0" fontId="17" fillId="20" borderId="4" xfId="0" applyFont="1" applyFill="1" applyBorder="1"/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16" fillId="19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12" fillId="13" borderId="0" xfId="0" applyFont="1" applyFill="1"/>
    <xf numFmtId="0" fontId="10" fillId="11" borderId="0" xfId="0" applyFont="1" applyFill="1"/>
    <xf numFmtId="0" fontId="1" fillId="2" borderId="0" xfId="0" applyFont="1" applyFill="1" applyAlignment="1">
      <alignment horizontal="center"/>
    </xf>
    <xf numFmtId="0" fontId="16" fillId="19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Lucro Acumulado do Mês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'Registo Diário'!$D$1</c:f>
              <c:strCache>
                <c:ptCount val="1"/>
                <c:pt idx="0">
                  <c:v>Lucro Acumulado do Mês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'Registo Diário'!$A$2:$A$31</c:f>
              <c:numCache>
                <c:formatCode>d\-mmm</c:formatCode>
                <c:ptCount val="30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</c:numCache>
            </c:numRef>
          </c:cat>
          <c:val>
            <c:numRef>
              <c:f>'Registo Diário'!$D$2:$D$31</c:f>
              <c:numCache>
                <c:formatCode>\$#\ ##0.00</c:formatCode>
                <c:ptCount val="30"/>
                <c:pt idx="0">
                  <c:v>4.72</c:v>
                </c:pt>
                <c:pt idx="1">
                  <c:v>6.1199999999999992</c:v>
                </c:pt>
                <c:pt idx="2">
                  <c:v>7.4099999999999993</c:v>
                </c:pt>
                <c:pt idx="3">
                  <c:v>8.76</c:v>
                </c:pt>
                <c:pt idx="4">
                  <c:v>14.09</c:v>
                </c:pt>
                <c:pt idx="5">
                  <c:v>15.61</c:v>
                </c:pt>
                <c:pt idx="6">
                  <c:v>-8.1999999999999993</c:v>
                </c:pt>
                <c:pt idx="7">
                  <c:v>-7.1499999999999995</c:v>
                </c:pt>
                <c:pt idx="8">
                  <c:v>-6.1199999999999992</c:v>
                </c:pt>
                <c:pt idx="9">
                  <c:v>-5.5099999999999989</c:v>
                </c:pt>
                <c:pt idx="10">
                  <c:v>-5.5099999999999989</c:v>
                </c:pt>
                <c:pt idx="11">
                  <c:v>-5.5099999999999989</c:v>
                </c:pt>
                <c:pt idx="12">
                  <c:v>-5.5099999999999989</c:v>
                </c:pt>
                <c:pt idx="13">
                  <c:v>-5.5099999999999989</c:v>
                </c:pt>
                <c:pt idx="14">
                  <c:v>-5.5099999999999989</c:v>
                </c:pt>
                <c:pt idx="15">
                  <c:v>-5.5099999999999989</c:v>
                </c:pt>
                <c:pt idx="16">
                  <c:v>-5.5099999999999989</c:v>
                </c:pt>
                <c:pt idx="17">
                  <c:v>-5.5099999999999989</c:v>
                </c:pt>
                <c:pt idx="18">
                  <c:v>-5.5099999999999989</c:v>
                </c:pt>
                <c:pt idx="19">
                  <c:v>-5.5099999999999989</c:v>
                </c:pt>
                <c:pt idx="20">
                  <c:v>-5.5099999999999989</c:v>
                </c:pt>
                <c:pt idx="21">
                  <c:v>-5.5099999999999989</c:v>
                </c:pt>
                <c:pt idx="22">
                  <c:v>-5.5099999999999989</c:v>
                </c:pt>
                <c:pt idx="23">
                  <c:v>-5.5099999999999989</c:v>
                </c:pt>
                <c:pt idx="24">
                  <c:v>-5.5099999999999989</c:v>
                </c:pt>
                <c:pt idx="25">
                  <c:v>-5.5099999999999989</c:v>
                </c:pt>
                <c:pt idx="26">
                  <c:v>-5.5099999999999989</c:v>
                </c:pt>
                <c:pt idx="27">
                  <c:v>-5.5099999999999989</c:v>
                </c:pt>
                <c:pt idx="28">
                  <c:v>-5.5099999999999989</c:v>
                </c:pt>
                <c:pt idx="29">
                  <c:v>-5.5099999999999989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11-4FC8-8D83-A0B7CD29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Dias</a:t>
                </a:r>
              </a:p>
            </c:rich>
          </c:tx>
          <c:overlay val="1"/>
        </c:title>
        <c:numFmt formatCode="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PT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Targets de Capital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Targets!$B$1</c:f>
              <c:strCache>
                <c:ptCount val="1"/>
                <c:pt idx="0">
                  <c:v>Capital Alvo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Targets!$A$2:$A$6</c:f>
              <c:strCache>
                <c:ptCount val="5"/>
                <c:pt idx="0">
                  <c:v>Próximo Marco</c:v>
                </c:pt>
                <c:pt idx="1">
                  <c:v>Subida de Lote</c:v>
                </c:pt>
                <c:pt idx="2">
                  <c:v>Consolidação</c:v>
                </c:pt>
                <c:pt idx="3">
                  <c:v>Escala</c:v>
                </c:pt>
                <c:pt idx="4">
                  <c:v>Objetivo 1</c:v>
                </c:pt>
              </c:strCache>
            </c:strRef>
          </c:cat>
          <c:val>
            <c:numRef>
              <c:f>Targets!$B$2:$B$6</c:f>
              <c:numCache>
                <c:formatCode>General</c:formatCode>
                <c:ptCount val="5"/>
                <c:pt idx="0">
                  <c:v>250</c:v>
                </c:pt>
                <c:pt idx="1">
                  <c:v>350</c:v>
                </c:pt>
                <c:pt idx="2">
                  <c:v>500</c:v>
                </c:pt>
                <c:pt idx="3">
                  <c:v>700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A74-8620-8C7B3A62D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Lucro/Prejuízo Semanal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'Semaforo Semanal'!$D$3</c:f>
              <c:strCache>
                <c:ptCount val="1"/>
                <c:pt idx="0">
                  <c:v>Lucro/Prejuízo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'Semaforo Semanal'!$A$4:$A$15</c:f>
              <c:numCache>
                <c:formatCode>d\-mmm</c:formatCode>
                <c:ptCount val="12"/>
                <c:pt idx="0">
                  <c:v>46083</c:v>
                </c:pt>
                <c:pt idx="1">
                  <c:v>46090</c:v>
                </c:pt>
              </c:numCache>
            </c:numRef>
          </c:cat>
          <c:val>
            <c:numRef>
              <c:f>'Semaforo Semanal'!$D$4:$D$15</c:f>
              <c:numCache>
                <c:formatCode>\$#\ ##0.00</c:formatCode>
                <c:ptCount val="12"/>
                <c:pt idx="0">
                  <c:v>14.090000000000003</c:v>
                </c:pt>
                <c:pt idx="1">
                  <c:v>-19.599999999999994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58-4D80-A0B0-BCA6AE554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Semana</a:t>
                </a:r>
              </a:p>
            </c:rich>
          </c:tx>
          <c:overlay val="1"/>
        </c:title>
        <c:numFmt formatCode="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PT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Equity Curve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'Equity vs Drawdown'!$B$3</c:f>
              <c:strCache>
                <c:ptCount val="1"/>
                <c:pt idx="0">
                  <c:v>Saldo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'Equity vs Drawdown'!$A$4:$A$30</c:f>
              <c:numCache>
                <c:formatCode>General</c:formatCode>
                <c:ptCount val="27"/>
              </c:numCache>
            </c:numRef>
          </c:cat>
          <c:val>
            <c:numRef>
              <c:f>'Equity vs Drawdown'!$B$4:$B$30</c:f>
              <c:numCache>
                <c:formatCode>\$#\ ##0.00</c:formatCode>
                <c:ptCount val="2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48-4EC7-8E34-C62D10D79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Entries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Balance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Projeção de Capital - 12 Meses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Projeções!$E$11</c:f>
              <c:strCache>
                <c:ptCount val="1"/>
                <c:pt idx="0">
                  <c:v>Saldo Final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Projeções!$A$12:$A$23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Projeções!$E$12:$E$23</c:f>
              <c:numCache>
                <c:formatCode>\$#\ ##0.00</c:formatCode>
                <c:ptCount val="12"/>
                <c:pt idx="0">
                  <c:v>290.65999999999997</c:v>
                </c:pt>
                <c:pt idx="1">
                  <c:v>378.65999999999997</c:v>
                </c:pt>
                <c:pt idx="2">
                  <c:v>466.65999999999997</c:v>
                </c:pt>
                <c:pt idx="3">
                  <c:v>554.66</c:v>
                </c:pt>
                <c:pt idx="4">
                  <c:v>642.66</c:v>
                </c:pt>
                <c:pt idx="5">
                  <c:v>730.66</c:v>
                </c:pt>
                <c:pt idx="6">
                  <c:v>818.66</c:v>
                </c:pt>
                <c:pt idx="7">
                  <c:v>906.66</c:v>
                </c:pt>
                <c:pt idx="8">
                  <c:v>994.66</c:v>
                </c:pt>
                <c:pt idx="9">
                  <c:v>1082.6599999999999</c:v>
                </c:pt>
                <c:pt idx="10">
                  <c:v>1170.6599999999999</c:v>
                </c:pt>
                <c:pt idx="11">
                  <c:v>1258.6599999999999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2E-4024-94D7-71EB4427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Evolução de Saldo vs Equity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'Equity vs Drawdown'!$B$3</c:f>
              <c:strCache>
                <c:ptCount val="1"/>
                <c:pt idx="0">
                  <c:v>Saldo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'Equity vs Drawdown'!$A$4:$A$33</c:f>
              <c:numCache>
                <c:formatCode>General</c:formatCode>
                <c:ptCount val="30"/>
              </c:numCache>
            </c:numRef>
          </c:cat>
          <c:val>
            <c:numRef>
              <c:f>'Equity vs Drawdown'!$B$4:$B$33</c:f>
              <c:numCache>
                <c:formatCode>\$#\ ##0.00</c:formatCode>
                <c:ptCount val="3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20-4A1D-BDB1-A09CE8718096}"/>
            </c:ext>
          </c:extLst>
        </c:ser>
        <c:ser>
          <c:idx val="1"/>
          <c:order val="1"/>
          <c:tx>
            <c:strRef>
              <c:f>'Equity vs Drawdown'!$C$3</c:f>
              <c:strCache>
                <c:ptCount val="1"/>
                <c:pt idx="0">
                  <c:v>Equity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'Equity vs Drawdown'!$A$4:$A$33</c:f>
              <c:numCache>
                <c:formatCode>General</c:formatCode>
                <c:ptCount val="30"/>
              </c:numCache>
            </c:numRef>
          </c:cat>
          <c:val>
            <c:numRef>
              <c:f>'Equity vs Drawdown'!$C$4:$C$33</c:f>
              <c:numCache>
                <c:formatCode>\$#\ ##0.00</c:formatCode>
                <c:ptCount val="3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20-4A1D-BDB1-A09CE871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Registos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Drawdown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'Equity vs Drawdown'!$E$3</c:f>
              <c:strCache>
                <c:ptCount val="1"/>
                <c:pt idx="0">
                  <c:v>Drawdown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'Equity vs Drawdown'!$A$4:$A$33</c:f>
              <c:numCache>
                <c:formatCode>General</c:formatCode>
                <c:ptCount val="30"/>
              </c:numCache>
            </c:numRef>
          </c:cat>
          <c:val>
            <c:numRef>
              <c:f>'Equity vs Drawdown'!$E$4:$E$33</c:f>
              <c:numCache>
                <c:formatCode>0.0%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F-4C3A-8B1C-C22532B28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Projeção até 10 000$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'Simulador 10k'!$E$11</c:f>
              <c:strCache>
                <c:ptCount val="1"/>
                <c:pt idx="0">
                  <c:v>Saldo Final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'Simulador 10k'!$A$12:$A$47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'Simulador 10k'!$E$12:$E$47</c:f>
              <c:numCache>
                <c:formatCode>\$#\ ##0.00</c:formatCode>
                <c:ptCount val="36"/>
                <c:pt idx="0">
                  <c:v>279.65999999999997</c:v>
                </c:pt>
                <c:pt idx="1">
                  <c:v>356.65999999999997</c:v>
                </c:pt>
                <c:pt idx="2">
                  <c:v>433.65999999999997</c:v>
                </c:pt>
                <c:pt idx="3">
                  <c:v>510.65999999999997</c:v>
                </c:pt>
                <c:pt idx="4">
                  <c:v>587.66</c:v>
                </c:pt>
                <c:pt idx="5">
                  <c:v>664.66</c:v>
                </c:pt>
                <c:pt idx="6">
                  <c:v>741.66</c:v>
                </c:pt>
                <c:pt idx="7">
                  <c:v>818.66</c:v>
                </c:pt>
                <c:pt idx="8">
                  <c:v>895.66</c:v>
                </c:pt>
                <c:pt idx="9">
                  <c:v>972.66</c:v>
                </c:pt>
                <c:pt idx="10">
                  <c:v>1049.6599999999999</c:v>
                </c:pt>
                <c:pt idx="11">
                  <c:v>1126.6599999999999</c:v>
                </c:pt>
                <c:pt idx="12">
                  <c:v>1203.6599999999999</c:v>
                </c:pt>
                <c:pt idx="13">
                  <c:v>1280.6599999999999</c:v>
                </c:pt>
                <c:pt idx="14">
                  <c:v>1357.6599999999999</c:v>
                </c:pt>
                <c:pt idx="15">
                  <c:v>1434.6599999999999</c:v>
                </c:pt>
                <c:pt idx="16">
                  <c:v>1511.6599999999999</c:v>
                </c:pt>
                <c:pt idx="17">
                  <c:v>1588.6599999999999</c:v>
                </c:pt>
                <c:pt idx="18">
                  <c:v>1665.6599999999999</c:v>
                </c:pt>
                <c:pt idx="19">
                  <c:v>1742.6599999999999</c:v>
                </c:pt>
                <c:pt idx="20">
                  <c:v>1819.6599999999999</c:v>
                </c:pt>
                <c:pt idx="21">
                  <c:v>1896.6599999999999</c:v>
                </c:pt>
                <c:pt idx="22">
                  <c:v>1973.6599999999999</c:v>
                </c:pt>
                <c:pt idx="23">
                  <c:v>2050.66</c:v>
                </c:pt>
                <c:pt idx="24">
                  <c:v>2127.66</c:v>
                </c:pt>
                <c:pt idx="25">
                  <c:v>2204.66</c:v>
                </c:pt>
                <c:pt idx="26">
                  <c:v>2281.66</c:v>
                </c:pt>
                <c:pt idx="27">
                  <c:v>2358.66</c:v>
                </c:pt>
                <c:pt idx="28">
                  <c:v>2435.66</c:v>
                </c:pt>
                <c:pt idx="29">
                  <c:v>2512.66</c:v>
                </c:pt>
                <c:pt idx="30">
                  <c:v>2589.66</c:v>
                </c:pt>
                <c:pt idx="31">
                  <c:v>2666.66</c:v>
                </c:pt>
                <c:pt idx="32">
                  <c:v>2743.66</c:v>
                </c:pt>
                <c:pt idx="33">
                  <c:v>2820.66</c:v>
                </c:pt>
                <c:pt idx="34">
                  <c:v>2897.66</c:v>
                </c:pt>
                <c:pt idx="35">
                  <c:v>2974.66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99-470A-B3E6-99A51394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Rendimento Mensal Potencial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'Plano Rendimentos'!$B$19</c:f>
              <c:strCache>
                <c:ptCount val="1"/>
                <c:pt idx="0">
                  <c:v>Lucro 5%/mês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'Plano Rendimentos'!$A$20:$A$22</c:f>
              <c:numCache>
                <c:formatCode>\$#\ ##0.00</c:formatCode>
                <c:ptCount val="3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'Plano Rendimentos'!$B$20:$B$22</c:f>
              <c:numCache>
                <c:formatCode>\$#\ ##0.00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7-42AB-96E0-400D36E5ABFA}"/>
            </c:ext>
          </c:extLst>
        </c:ser>
        <c:ser>
          <c:idx val="1"/>
          <c:order val="1"/>
          <c:tx>
            <c:strRef>
              <c:f>'Plano Rendimentos'!$C$19</c:f>
              <c:strCache>
                <c:ptCount val="1"/>
                <c:pt idx="0">
                  <c:v>Lucro 8%/mês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'Plano Rendimentos'!$A$20:$A$22</c:f>
              <c:numCache>
                <c:formatCode>\$#\ ##0.00</c:formatCode>
                <c:ptCount val="3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'Plano Rendimentos'!$C$20:$C$22</c:f>
              <c:numCache>
                <c:formatCode>\$#\ ##0.00</c:formatCode>
                <c:ptCount val="3"/>
                <c:pt idx="0">
                  <c:v>160</c:v>
                </c:pt>
                <c:pt idx="1">
                  <c:v>400</c:v>
                </c:pt>
                <c:pt idx="2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7-42AB-96E0-400D36E5ABFA}"/>
            </c:ext>
          </c:extLst>
        </c:ser>
        <c:ser>
          <c:idx val="2"/>
          <c:order val="2"/>
          <c:tx>
            <c:strRef>
              <c:f>'Plano Rendimentos'!$D$19</c:f>
              <c:strCache>
                <c:ptCount val="1"/>
                <c:pt idx="0">
                  <c:v>Retirada sugerida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'Plano Rendimentos'!$A$20:$A$22</c:f>
              <c:numCache>
                <c:formatCode>\$#\ ##0.00</c:formatCode>
                <c:ptCount val="3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'Plano Rendimentos'!$D$20:$D$22</c:f>
              <c:numCache>
                <c:formatCode>\$#\ ##0.00</c:formatCode>
                <c:ptCount val="3"/>
                <c:pt idx="0">
                  <c:v>20</c:v>
                </c:pt>
                <c:pt idx="1">
                  <c:v>120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07-42AB-96E0-400D36E5A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\$#\ ##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Drawdown Diário Registado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'Registo Diário'!$H$1</c:f>
              <c:strCache>
                <c:ptCount val="1"/>
                <c:pt idx="0">
                  <c:v>Drawdown Diário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'Registo Diário'!$A$2:$A$31</c:f>
              <c:numCache>
                <c:formatCode>d\-mmm</c:formatCode>
                <c:ptCount val="30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</c:numCache>
            </c:numRef>
          </c:cat>
          <c:val>
            <c:numRef>
              <c:f>'Registo Diário'!$H$2:$H$31</c:f>
              <c:numCache>
                <c:formatCode>\$#\ ##0.00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9.0000000000003411E-2</c:v>
                </c:pt>
                <c:pt idx="9">
                  <c:v>1.1799999999999784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C8-4347-BB18-383FAF3C5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Dias</a:t>
                </a:r>
              </a:p>
            </c:rich>
          </c:tx>
          <c:overlay val="1"/>
        </c:title>
        <c:numFmt formatCode="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PT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Evolução Teórica do Profit Lock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'Profit Lock'!$E$4</c:f>
              <c:strCache>
                <c:ptCount val="1"/>
                <c:pt idx="0">
                  <c:v>Saldo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'Profit Lock'!$E$5:$E$7</c:f>
              <c:numCache>
                <c:formatCode>\$#\ ##0.00</c:formatCode>
                <c:ptCount val="3"/>
                <c:pt idx="0">
                  <c:v>300</c:v>
                </c:pt>
                <c:pt idx="1">
                  <c:v>400</c:v>
                </c:pt>
                <c:pt idx="2">
                  <c:v>600</c:v>
                </c:pt>
              </c:numCache>
            </c:numRef>
          </c:cat>
          <c:val>
            <c:numRef>
              <c:f>'Profit Lock'!$E$5:$E$8</c:f>
              <c:numCache>
                <c:formatCode>\$#\ ##0.00</c:formatCode>
                <c:ptCount val="4"/>
                <c:pt idx="0">
                  <c:v>300</c:v>
                </c:pt>
                <c:pt idx="1">
                  <c:v>400</c:v>
                </c:pt>
                <c:pt idx="2">
                  <c:v>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8A-4A27-935A-B254AE0431EC}"/>
            </c:ext>
          </c:extLst>
        </c:ser>
        <c:ser>
          <c:idx val="1"/>
          <c:order val="1"/>
          <c:tx>
            <c:strRef>
              <c:f>'Profit Lock'!$F$4</c:f>
              <c:strCache>
                <c:ptCount val="1"/>
                <c:pt idx="0">
                  <c:v>Lucro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'Profit Lock'!$E$5:$E$7</c:f>
              <c:numCache>
                <c:formatCode>\$#\ ##0.00</c:formatCode>
                <c:ptCount val="3"/>
                <c:pt idx="0">
                  <c:v>300</c:v>
                </c:pt>
                <c:pt idx="1">
                  <c:v>400</c:v>
                </c:pt>
                <c:pt idx="2">
                  <c:v>600</c:v>
                </c:pt>
              </c:numCache>
            </c:numRef>
          </c:cat>
          <c:val>
            <c:numRef>
              <c:f>'Profit Lock'!$F$5:$F$8</c:f>
              <c:numCache>
                <c:formatCode>\$#\ ##0.00</c:formatCode>
                <c:ptCount val="4"/>
                <c:pt idx="0">
                  <c:v>30</c:v>
                </c:pt>
                <c:pt idx="1">
                  <c:v>80</c:v>
                </c:pt>
                <c:pt idx="2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8A-4A27-935A-B254AE0431EC}"/>
            </c:ext>
          </c:extLst>
        </c:ser>
        <c:ser>
          <c:idx val="2"/>
          <c:order val="2"/>
          <c:tx>
            <c:strRef>
              <c:f>'Profit Lock'!$G$4</c:f>
              <c:strCache>
                <c:ptCount val="1"/>
                <c:pt idx="0">
                  <c:v>Lock 30%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'Profit Lock'!$E$5:$E$7</c:f>
              <c:numCache>
                <c:formatCode>\$#\ ##0.00</c:formatCode>
                <c:ptCount val="3"/>
                <c:pt idx="0">
                  <c:v>300</c:v>
                </c:pt>
                <c:pt idx="1">
                  <c:v>400</c:v>
                </c:pt>
                <c:pt idx="2">
                  <c:v>600</c:v>
                </c:pt>
              </c:numCache>
            </c:numRef>
          </c:cat>
          <c:val>
            <c:numRef>
              <c:f>'Profit Lock'!$G$5:$G$8</c:f>
              <c:numCache>
                <c:formatCode>\$#\ ##0.00</c:formatCode>
                <c:ptCount val="4"/>
                <c:pt idx="0">
                  <c:v>9</c:v>
                </c:pt>
                <c:pt idx="1">
                  <c:v>24</c:v>
                </c:pt>
                <c:pt idx="2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38A-4A27-935A-B254AE0431EC}"/>
            </c:ext>
          </c:extLst>
        </c:ser>
        <c:ser>
          <c:idx val="3"/>
          <c:order val="3"/>
          <c:tx>
            <c:strRef>
              <c:f>'Profit Lock'!$H$4</c:f>
              <c:strCache>
                <c:ptCount val="1"/>
                <c:pt idx="0">
                  <c:v>Profit Lock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'Profit Lock'!$E$5:$E$7</c:f>
              <c:numCache>
                <c:formatCode>\$#\ ##0.00</c:formatCode>
                <c:ptCount val="3"/>
                <c:pt idx="0">
                  <c:v>300</c:v>
                </c:pt>
                <c:pt idx="1">
                  <c:v>400</c:v>
                </c:pt>
                <c:pt idx="2">
                  <c:v>600</c:v>
                </c:pt>
              </c:numCache>
            </c:numRef>
          </c:cat>
          <c:val>
            <c:numRef>
              <c:f>'Profit Lock'!$H$5:$H$8</c:f>
              <c:numCache>
                <c:formatCode>\$#\ ##0.00</c:formatCode>
                <c:ptCount val="4"/>
                <c:pt idx="0">
                  <c:v>309</c:v>
                </c:pt>
                <c:pt idx="1">
                  <c:v>424</c:v>
                </c:pt>
                <c:pt idx="2">
                  <c:v>645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38A-4A27-935A-B254AE043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Exemplos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$</a:t>
                </a:r>
              </a:p>
            </c:rich>
          </c:tx>
          <c:overlay val="1"/>
        </c:title>
        <c:numFmt formatCode="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16</xdr:row>
      <xdr:rowOff>53340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60</xdr:row>
      <xdr:rowOff>76200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31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45</xdr:row>
      <xdr:rowOff>114300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678180</xdr:colOff>
      <xdr:row>10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609600</xdr:colOff>
      <xdr:row>12</xdr:row>
      <xdr:rowOff>106680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activeCell="C21" sqref="C21"/>
    </sheetView>
  </sheetViews>
  <sheetFormatPr defaultRowHeight="14.4" x14ac:dyDescent="0.3"/>
  <cols>
    <col min="1" max="8" width="24" customWidth="1"/>
  </cols>
  <sheetData>
    <row r="1" spans="1:8" ht="31.2" customHeight="1" x14ac:dyDescent="0.3">
      <c r="A1" s="65" t="s">
        <v>22</v>
      </c>
      <c r="B1" s="64"/>
      <c r="C1" s="64"/>
      <c r="D1" s="64"/>
      <c r="E1" s="64"/>
      <c r="F1" s="64"/>
      <c r="G1" s="64"/>
      <c r="H1" s="64"/>
    </row>
    <row r="3" spans="1:8" ht="18" customHeight="1" x14ac:dyDescent="0.35">
      <c r="A3" s="67" t="s">
        <v>23</v>
      </c>
      <c r="B3" s="64"/>
      <c r="C3" s="64"/>
      <c r="D3" s="64"/>
      <c r="E3" s="64"/>
      <c r="F3" s="64"/>
      <c r="G3" s="64"/>
      <c r="H3" s="64"/>
    </row>
    <row r="6" spans="1:8" x14ac:dyDescent="0.3">
      <c r="A6" s="64" t="s">
        <v>24</v>
      </c>
      <c r="B6" s="64"/>
      <c r="C6" s="64"/>
      <c r="D6" s="64"/>
      <c r="E6" s="64"/>
      <c r="F6" s="64"/>
      <c r="G6" s="64"/>
      <c r="H6" s="64"/>
    </row>
    <row r="8" spans="1:8" x14ac:dyDescent="0.3">
      <c r="A8" s="1" t="s">
        <v>25</v>
      </c>
    </row>
    <row r="9" spans="1:8" x14ac:dyDescent="0.3">
      <c r="A9" s="64" t="s">
        <v>26</v>
      </c>
      <c r="B9" s="64"/>
      <c r="C9" s="64"/>
      <c r="D9" s="64"/>
      <c r="E9" s="64"/>
      <c r="F9" s="64"/>
    </row>
    <row r="10" spans="1:8" x14ac:dyDescent="0.3">
      <c r="A10" s="64" t="s">
        <v>27</v>
      </c>
      <c r="B10" s="64"/>
      <c r="C10" s="64"/>
      <c r="D10" s="64"/>
      <c r="E10" s="64"/>
      <c r="F10" s="64"/>
    </row>
    <row r="11" spans="1:8" x14ac:dyDescent="0.3">
      <c r="A11" s="64" t="s">
        <v>28</v>
      </c>
      <c r="B11" s="64"/>
      <c r="C11" s="64"/>
      <c r="D11" s="64"/>
      <c r="E11" s="64"/>
      <c r="F11" s="64"/>
    </row>
    <row r="12" spans="1:8" x14ac:dyDescent="0.3">
      <c r="A12" s="64" t="s">
        <v>29</v>
      </c>
      <c r="B12" s="64"/>
      <c r="C12" s="64"/>
      <c r="D12" s="64"/>
      <c r="E12" s="64"/>
      <c r="F12" s="64"/>
    </row>
    <row r="13" spans="1:8" x14ac:dyDescent="0.3">
      <c r="A13" s="64" t="s">
        <v>30</v>
      </c>
      <c r="B13" s="64"/>
      <c r="C13" s="64"/>
      <c r="D13" s="64"/>
      <c r="E13" s="64"/>
      <c r="F13" s="64"/>
    </row>
    <row r="14" spans="1:8" x14ac:dyDescent="0.3">
      <c r="A14" s="64" t="s">
        <v>31</v>
      </c>
      <c r="B14" s="64"/>
      <c r="C14" s="64"/>
      <c r="D14" s="64"/>
      <c r="E14" s="64"/>
      <c r="F14" s="64"/>
    </row>
    <row r="15" spans="1:8" x14ac:dyDescent="0.3">
      <c r="A15" s="64" t="s">
        <v>32</v>
      </c>
      <c r="B15" s="64"/>
      <c r="C15" s="64"/>
      <c r="D15" s="64"/>
      <c r="E15" s="64"/>
      <c r="F15" s="64"/>
    </row>
    <row r="16" spans="1:8" x14ac:dyDescent="0.3">
      <c r="A16" s="66" t="s">
        <v>33</v>
      </c>
      <c r="B16" s="64"/>
      <c r="C16" s="64"/>
      <c r="D16" s="64"/>
      <c r="E16" s="64"/>
      <c r="F16" s="64"/>
    </row>
    <row r="17" spans="1:6" x14ac:dyDescent="0.3">
      <c r="A17" s="64" t="s">
        <v>34</v>
      </c>
      <c r="B17" s="64"/>
      <c r="C17" s="64"/>
      <c r="D17" s="64"/>
      <c r="E17" s="64"/>
      <c r="F17" s="64"/>
    </row>
    <row r="18" spans="1:6" x14ac:dyDescent="0.3">
      <c r="A18" s="64" t="s">
        <v>35</v>
      </c>
      <c r="B18" s="64"/>
      <c r="C18" s="64"/>
      <c r="D18" s="64"/>
      <c r="E18" s="64"/>
      <c r="F18" s="64"/>
    </row>
    <row r="19" spans="1:6" x14ac:dyDescent="0.3">
      <c r="A19" s="64" t="s">
        <v>36</v>
      </c>
      <c r="B19" s="64"/>
      <c r="C19" s="64"/>
      <c r="D19" s="64"/>
      <c r="E19" s="64"/>
      <c r="F19" s="64"/>
    </row>
    <row r="20" spans="1:6" x14ac:dyDescent="0.3">
      <c r="A20" s="64" t="s">
        <v>37</v>
      </c>
      <c r="B20" s="64"/>
      <c r="C20" s="64"/>
      <c r="D20" s="64"/>
      <c r="E20" s="64"/>
      <c r="F20" s="64"/>
    </row>
  </sheetData>
  <mergeCells count="15">
    <mergeCell ref="A1:H1"/>
    <mergeCell ref="A20:F20"/>
    <mergeCell ref="A15:F15"/>
    <mergeCell ref="A6:H6"/>
    <mergeCell ref="A16:F16"/>
    <mergeCell ref="A11:F11"/>
    <mergeCell ref="A3:H3"/>
    <mergeCell ref="A10:F10"/>
    <mergeCell ref="A19:F19"/>
    <mergeCell ref="A13:F13"/>
    <mergeCell ref="A14:F14"/>
    <mergeCell ref="A9:F9"/>
    <mergeCell ref="A17:F17"/>
    <mergeCell ref="A12:F12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showGridLines="0" workbookViewId="0">
      <pane ySplit="5" topLeftCell="A9" activePane="bottomLeft" state="frozen"/>
      <selection pane="bottomLeft" sqref="A1:H1"/>
    </sheetView>
  </sheetViews>
  <sheetFormatPr defaultRowHeight="14.4" x14ac:dyDescent="0.3"/>
  <cols>
    <col min="1" max="1" width="18" customWidth="1"/>
    <col min="2" max="2" width="28" customWidth="1"/>
    <col min="3" max="3" width="18" customWidth="1"/>
    <col min="4" max="4" width="30" customWidth="1"/>
    <col min="5" max="8" width="18" customWidth="1"/>
  </cols>
  <sheetData>
    <row r="1" spans="1:8" ht="21" customHeight="1" x14ac:dyDescent="0.4">
      <c r="A1" s="68" t="s">
        <v>38</v>
      </c>
      <c r="B1" s="64"/>
      <c r="C1" s="64"/>
      <c r="D1" s="64"/>
      <c r="E1" s="64"/>
      <c r="F1" s="64"/>
      <c r="G1" s="64"/>
      <c r="H1" s="64"/>
    </row>
    <row r="3" spans="1:8" x14ac:dyDescent="0.3">
      <c r="A3" s="6" t="s">
        <v>39</v>
      </c>
    </row>
    <row r="4" spans="1:8" x14ac:dyDescent="0.3">
      <c r="A4" s="64" t="s">
        <v>40</v>
      </c>
      <c r="B4" s="64"/>
      <c r="C4" s="64"/>
      <c r="D4" s="64"/>
      <c r="E4" s="64"/>
      <c r="F4" s="64"/>
      <c r="G4" s="64"/>
      <c r="H4" s="64"/>
    </row>
    <row r="6" spans="1:8" x14ac:dyDescent="0.3">
      <c r="A6" s="69" t="s">
        <v>41</v>
      </c>
      <c r="B6" s="64"/>
      <c r="C6" s="64"/>
      <c r="D6" s="64"/>
      <c r="E6" s="64"/>
      <c r="F6" s="64"/>
      <c r="G6" s="64"/>
      <c r="H6" s="64"/>
    </row>
    <row r="7" spans="1:8" x14ac:dyDescent="0.3">
      <c r="A7" s="64" t="s">
        <v>42</v>
      </c>
      <c r="B7" s="64"/>
      <c r="C7" s="64"/>
      <c r="D7" s="64"/>
      <c r="E7" s="64"/>
      <c r="F7" s="64"/>
      <c r="G7" s="64"/>
      <c r="H7" s="64"/>
    </row>
    <row r="8" spans="1:8" x14ac:dyDescent="0.3">
      <c r="A8" s="64" t="s">
        <v>43</v>
      </c>
      <c r="B8" s="64"/>
      <c r="C8" s="64"/>
      <c r="D8" s="64"/>
      <c r="E8" s="64"/>
      <c r="F8" s="64"/>
      <c r="G8" s="64"/>
      <c r="H8" s="64"/>
    </row>
    <row r="9" spans="1:8" x14ac:dyDescent="0.3">
      <c r="A9" s="64" t="s">
        <v>44</v>
      </c>
      <c r="B9" s="64"/>
      <c r="C9" s="64"/>
      <c r="D9" s="64"/>
      <c r="E9" s="64"/>
      <c r="F9" s="64"/>
      <c r="G9" s="64"/>
      <c r="H9" s="64"/>
    </row>
    <row r="10" spans="1:8" x14ac:dyDescent="0.3">
      <c r="A10" s="64" t="s">
        <v>45</v>
      </c>
      <c r="B10" s="64"/>
      <c r="C10" s="64"/>
      <c r="D10" s="64"/>
      <c r="E10" s="64"/>
      <c r="F10" s="64"/>
      <c r="G10" s="64"/>
      <c r="H10" s="64"/>
    </row>
    <row r="12" spans="1:8" x14ac:dyDescent="0.3">
      <c r="A12" s="69" t="s">
        <v>46</v>
      </c>
      <c r="B12" s="64"/>
      <c r="C12" s="64"/>
      <c r="D12" s="64"/>
      <c r="E12" s="64"/>
      <c r="F12" s="64"/>
      <c r="G12" s="64"/>
      <c r="H12" s="64"/>
    </row>
    <row r="13" spans="1:8" x14ac:dyDescent="0.3">
      <c r="A13" s="64" t="s">
        <v>47</v>
      </c>
      <c r="B13" s="64"/>
      <c r="C13" s="64"/>
      <c r="D13" s="64"/>
      <c r="E13" s="64"/>
      <c r="F13" s="64"/>
      <c r="G13" s="64"/>
      <c r="H13" s="64"/>
    </row>
    <row r="14" spans="1:8" x14ac:dyDescent="0.3">
      <c r="A14" s="64" t="s">
        <v>48</v>
      </c>
      <c r="B14" s="64"/>
      <c r="C14" s="64"/>
      <c r="D14" s="64"/>
      <c r="E14" s="64"/>
      <c r="F14" s="64"/>
      <c r="G14" s="64"/>
      <c r="H14" s="64"/>
    </row>
    <row r="15" spans="1:8" x14ac:dyDescent="0.3">
      <c r="A15" s="64" t="s">
        <v>49</v>
      </c>
      <c r="B15" s="64"/>
      <c r="C15" s="64"/>
      <c r="D15" s="64"/>
      <c r="E15" s="64"/>
      <c r="F15" s="64"/>
      <c r="G15" s="64"/>
      <c r="H15" s="64"/>
    </row>
    <row r="16" spans="1:8" x14ac:dyDescent="0.3">
      <c r="A16" s="64" t="s">
        <v>50</v>
      </c>
      <c r="B16" s="64"/>
      <c r="C16" s="64"/>
      <c r="D16" s="64"/>
      <c r="E16" s="64"/>
      <c r="F16" s="64"/>
      <c r="G16" s="64"/>
      <c r="H16" s="64"/>
    </row>
    <row r="18" spans="1:8" x14ac:dyDescent="0.3">
      <c r="A18" s="69" t="s">
        <v>51</v>
      </c>
      <c r="B18" s="64"/>
      <c r="C18" s="64"/>
      <c r="D18" s="64"/>
      <c r="E18" s="64"/>
      <c r="F18" s="64"/>
      <c r="G18" s="64"/>
      <c r="H18" s="64"/>
    </row>
    <row r="19" spans="1:8" x14ac:dyDescent="0.3">
      <c r="A19" s="64" t="s">
        <v>52</v>
      </c>
      <c r="B19" s="64"/>
      <c r="C19" s="64"/>
      <c r="D19" s="64"/>
      <c r="E19" s="64"/>
      <c r="F19" s="64"/>
      <c r="G19" s="64"/>
      <c r="H19" s="64"/>
    </row>
    <row r="20" spans="1:8" x14ac:dyDescent="0.3">
      <c r="A20" s="64" t="s">
        <v>53</v>
      </c>
      <c r="B20" s="64"/>
      <c r="C20" s="64"/>
      <c r="D20" s="64"/>
      <c r="E20" s="64"/>
      <c r="F20" s="64"/>
      <c r="G20" s="64"/>
      <c r="H20" s="64"/>
    </row>
    <row r="21" spans="1:8" x14ac:dyDescent="0.3">
      <c r="A21" s="64" t="s">
        <v>54</v>
      </c>
      <c r="B21" s="64"/>
      <c r="C21" s="64"/>
      <c r="D21" s="64"/>
      <c r="E21" s="64"/>
      <c r="F21" s="64"/>
      <c r="G21" s="64"/>
      <c r="H21" s="64"/>
    </row>
    <row r="22" spans="1:8" x14ac:dyDescent="0.3">
      <c r="A22" s="64" t="s">
        <v>55</v>
      </c>
      <c r="B22" s="64"/>
      <c r="C22" s="64"/>
      <c r="D22" s="64"/>
      <c r="E22" s="64"/>
      <c r="F22" s="64"/>
      <c r="G22" s="64"/>
      <c r="H22" s="64"/>
    </row>
    <row r="24" spans="1:8" x14ac:dyDescent="0.3">
      <c r="A24" s="69" t="s">
        <v>56</v>
      </c>
      <c r="B24" s="64"/>
      <c r="C24" s="64"/>
      <c r="D24" s="64"/>
      <c r="E24" s="64"/>
      <c r="F24" s="64"/>
      <c r="G24" s="64"/>
      <c r="H24" s="64"/>
    </row>
    <row r="25" spans="1:8" x14ac:dyDescent="0.3">
      <c r="A25" s="64" t="s">
        <v>57</v>
      </c>
      <c r="B25" s="64"/>
      <c r="C25" s="64"/>
      <c r="D25" s="64"/>
      <c r="E25" s="64"/>
      <c r="F25" s="64"/>
      <c r="G25" s="64"/>
      <c r="H25" s="64"/>
    </row>
    <row r="26" spans="1:8" x14ac:dyDescent="0.3">
      <c r="A26" s="64" t="s">
        <v>58</v>
      </c>
      <c r="B26" s="64"/>
      <c r="C26" s="64"/>
      <c r="D26" s="64"/>
      <c r="E26" s="64"/>
      <c r="F26" s="64"/>
      <c r="G26" s="64"/>
      <c r="H26" s="64"/>
    </row>
    <row r="27" spans="1:8" x14ac:dyDescent="0.3">
      <c r="A27" s="64" t="s">
        <v>59</v>
      </c>
      <c r="B27" s="64"/>
      <c r="C27" s="64"/>
      <c r="D27" s="64"/>
      <c r="E27" s="64"/>
      <c r="F27" s="64"/>
      <c r="G27" s="64"/>
      <c r="H27" s="64"/>
    </row>
    <row r="28" spans="1:8" x14ac:dyDescent="0.3">
      <c r="A28" s="64" t="s">
        <v>60</v>
      </c>
      <c r="B28" s="64"/>
      <c r="C28" s="64"/>
      <c r="D28" s="64"/>
      <c r="E28" s="64"/>
      <c r="F28" s="64"/>
      <c r="G28" s="64"/>
      <c r="H28" s="64"/>
    </row>
    <row r="30" spans="1:8" x14ac:dyDescent="0.3">
      <c r="A30" s="69" t="s">
        <v>61</v>
      </c>
      <c r="B30" s="64"/>
      <c r="C30" s="64"/>
      <c r="D30" s="64"/>
    </row>
    <row r="31" spans="1:8" x14ac:dyDescent="0.3">
      <c r="A31" s="27" t="s">
        <v>62</v>
      </c>
      <c r="B31" s="28" t="s">
        <v>63</v>
      </c>
      <c r="C31" s="29" t="s">
        <v>64</v>
      </c>
      <c r="D31" s="28" t="s">
        <v>65</v>
      </c>
    </row>
    <row r="33" spans="1:8" x14ac:dyDescent="0.3">
      <c r="A33" s="69" t="s">
        <v>66</v>
      </c>
      <c r="B33" s="64"/>
      <c r="C33" s="64"/>
      <c r="D33" s="64"/>
      <c r="E33" s="64"/>
      <c r="F33" s="64"/>
      <c r="G33" s="64"/>
      <c r="H33" s="64"/>
    </row>
    <row r="34" spans="1:8" x14ac:dyDescent="0.3">
      <c r="A34" s="64" t="s">
        <v>67</v>
      </c>
      <c r="B34" s="64"/>
      <c r="C34" s="64"/>
      <c r="D34" s="64"/>
      <c r="E34" s="64"/>
      <c r="F34" s="64"/>
      <c r="G34" s="64"/>
      <c r="H34" s="64"/>
    </row>
    <row r="35" spans="1:8" x14ac:dyDescent="0.3">
      <c r="A35" s="64" t="s">
        <v>68</v>
      </c>
      <c r="B35" s="64"/>
      <c r="C35" s="64"/>
      <c r="D35" s="64"/>
      <c r="E35" s="64"/>
      <c r="F35" s="64"/>
      <c r="G35" s="64"/>
      <c r="H35" s="64"/>
    </row>
    <row r="36" spans="1:8" x14ac:dyDescent="0.3">
      <c r="A36" s="64" t="s">
        <v>69</v>
      </c>
      <c r="B36" s="64"/>
      <c r="C36" s="64"/>
      <c r="D36" s="64"/>
      <c r="E36" s="64"/>
      <c r="F36" s="64"/>
      <c r="G36" s="64"/>
      <c r="H36" s="64"/>
    </row>
    <row r="37" spans="1:8" x14ac:dyDescent="0.3">
      <c r="A37" s="64" t="s">
        <v>70</v>
      </c>
      <c r="B37" s="64"/>
      <c r="C37" s="64"/>
      <c r="D37" s="64"/>
      <c r="E37" s="64"/>
      <c r="F37" s="64"/>
      <c r="G37" s="64"/>
      <c r="H37" s="64"/>
    </row>
    <row r="38" spans="1:8" x14ac:dyDescent="0.3">
      <c r="A38" s="64" t="s">
        <v>71</v>
      </c>
      <c r="B38" s="64"/>
      <c r="C38" s="64"/>
      <c r="D38" s="64"/>
      <c r="E38" s="64"/>
      <c r="F38" s="64"/>
      <c r="G38" s="64"/>
      <c r="H38" s="64"/>
    </row>
    <row r="39" spans="1:8" x14ac:dyDescent="0.3">
      <c r="A39" s="64" t="s">
        <v>72</v>
      </c>
      <c r="B39" s="64"/>
      <c r="C39" s="64"/>
      <c r="D39" s="64"/>
      <c r="E39" s="64"/>
      <c r="F39" s="64"/>
      <c r="G39" s="64"/>
      <c r="H39" s="64"/>
    </row>
    <row r="41" spans="1:8" x14ac:dyDescent="0.3">
      <c r="A41" s="69" t="s">
        <v>73</v>
      </c>
      <c r="B41" s="64"/>
      <c r="C41" s="64"/>
      <c r="D41" s="64"/>
      <c r="E41" s="64"/>
      <c r="F41" s="64"/>
      <c r="G41" s="64"/>
      <c r="H41" s="64"/>
    </row>
    <row r="42" spans="1:8" x14ac:dyDescent="0.3">
      <c r="A42" s="64" t="s">
        <v>74</v>
      </c>
      <c r="B42" s="64"/>
      <c r="C42" s="64"/>
      <c r="D42" s="64"/>
      <c r="E42" s="64"/>
      <c r="F42" s="64"/>
      <c r="G42" s="64"/>
      <c r="H42" s="64"/>
    </row>
    <row r="43" spans="1:8" x14ac:dyDescent="0.3">
      <c r="A43" s="64" t="s">
        <v>75</v>
      </c>
      <c r="B43" s="64"/>
      <c r="C43" s="64"/>
      <c r="D43" s="64"/>
      <c r="E43" s="64"/>
      <c r="F43" s="64"/>
      <c r="G43" s="64"/>
      <c r="H43" s="64"/>
    </row>
    <row r="44" spans="1:8" x14ac:dyDescent="0.3">
      <c r="A44" s="64" t="s">
        <v>76</v>
      </c>
      <c r="B44" s="64"/>
      <c r="C44" s="64"/>
      <c r="D44" s="64"/>
      <c r="E44" s="64"/>
      <c r="F44" s="64"/>
      <c r="G44" s="64"/>
      <c r="H44" s="64"/>
    </row>
    <row r="45" spans="1:8" x14ac:dyDescent="0.3">
      <c r="A45" s="64" t="s">
        <v>77</v>
      </c>
      <c r="B45" s="64"/>
      <c r="C45" s="64"/>
      <c r="D45" s="64"/>
      <c r="E45" s="64"/>
      <c r="F45" s="64"/>
      <c r="G45" s="64"/>
      <c r="H45" s="64"/>
    </row>
    <row r="46" spans="1:8" x14ac:dyDescent="0.3">
      <c r="A46" s="64" t="s">
        <v>78</v>
      </c>
      <c r="B46" s="64"/>
      <c r="C46" s="64"/>
      <c r="D46" s="64"/>
      <c r="E46" s="64"/>
      <c r="F46" s="64"/>
      <c r="G46" s="64"/>
      <c r="H46" s="64"/>
    </row>
    <row r="47" spans="1:8" x14ac:dyDescent="0.3">
      <c r="A47" s="64" t="s">
        <v>79</v>
      </c>
      <c r="B47" s="64"/>
      <c r="C47" s="64"/>
      <c r="D47" s="64"/>
      <c r="E47" s="64"/>
      <c r="F47" s="64"/>
      <c r="G47" s="64"/>
      <c r="H47" s="64"/>
    </row>
    <row r="48" spans="1:8" x14ac:dyDescent="0.3">
      <c r="A48" s="64" t="s">
        <v>80</v>
      </c>
      <c r="B48" s="64"/>
      <c r="C48" s="64"/>
      <c r="D48" s="64"/>
      <c r="E48" s="64"/>
      <c r="F48" s="64"/>
      <c r="G48" s="64"/>
      <c r="H48" s="64"/>
    </row>
    <row r="50" spans="1:8" x14ac:dyDescent="0.3">
      <c r="A50" s="69" t="s">
        <v>81</v>
      </c>
      <c r="B50" s="64"/>
      <c r="C50" s="64"/>
      <c r="D50" s="64"/>
      <c r="E50" s="64"/>
      <c r="F50" s="64"/>
      <c r="G50" s="64"/>
      <c r="H50" s="64"/>
    </row>
    <row r="51" spans="1:8" x14ac:dyDescent="0.3">
      <c r="A51" s="64" t="s">
        <v>82</v>
      </c>
      <c r="B51" s="64"/>
      <c r="C51" s="64"/>
      <c r="D51" s="64"/>
      <c r="E51" s="64"/>
      <c r="F51" s="64"/>
      <c r="G51" s="64"/>
      <c r="H51" s="64"/>
    </row>
    <row r="52" spans="1:8" x14ac:dyDescent="0.3">
      <c r="A52" s="64" t="s">
        <v>83</v>
      </c>
      <c r="B52" s="64"/>
      <c r="C52" s="64"/>
      <c r="D52" s="64"/>
      <c r="E52" s="64"/>
      <c r="F52" s="64"/>
      <c r="G52" s="64"/>
      <c r="H52" s="64"/>
    </row>
    <row r="53" spans="1:8" x14ac:dyDescent="0.3">
      <c r="A53" s="64" t="s">
        <v>84</v>
      </c>
      <c r="B53" s="64"/>
      <c r="C53" s="64"/>
      <c r="D53" s="64"/>
      <c r="E53" s="64"/>
      <c r="F53" s="64"/>
      <c r="G53" s="64"/>
      <c r="H53" s="64"/>
    </row>
    <row r="54" spans="1:8" x14ac:dyDescent="0.3">
      <c r="A54" s="64" t="s">
        <v>85</v>
      </c>
      <c r="B54" s="64"/>
      <c r="C54" s="64"/>
      <c r="D54" s="64"/>
      <c r="E54" s="64"/>
      <c r="F54" s="64"/>
      <c r="G54" s="64"/>
      <c r="H54" s="64"/>
    </row>
    <row r="55" spans="1:8" x14ac:dyDescent="0.3">
      <c r="A55" s="64" t="s">
        <v>86</v>
      </c>
      <c r="B55" s="64"/>
      <c r="C55" s="64"/>
      <c r="D55" s="64"/>
      <c r="E55" s="64"/>
      <c r="F55" s="64"/>
      <c r="G55" s="64"/>
      <c r="H55" s="64"/>
    </row>
    <row r="56" spans="1:8" x14ac:dyDescent="0.3">
      <c r="A56" s="64" t="s">
        <v>87</v>
      </c>
      <c r="B56" s="64"/>
      <c r="C56" s="64"/>
      <c r="D56" s="64"/>
      <c r="E56" s="64"/>
      <c r="F56" s="64"/>
      <c r="G56" s="64"/>
      <c r="H56" s="64"/>
    </row>
    <row r="58" spans="1:8" x14ac:dyDescent="0.3">
      <c r="A58" s="71" t="s">
        <v>88</v>
      </c>
      <c r="B58" s="64"/>
      <c r="C58" s="64"/>
      <c r="D58" s="64"/>
      <c r="E58" s="64"/>
      <c r="F58" s="64"/>
      <c r="G58" s="64"/>
      <c r="H58" s="64"/>
    </row>
    <row r="59" spans="1:8" x14ac:dyDescent="0.3">
      <c r="A59" t="s">
        <v>89</v>
      </c>
    </row>
    <row r="60" spans="1:8" x14ac:dyDescent="0.3">
      <c r="A60" t="s">
        <v>90</v>
      </c>
    </row>
    <row r="62" spans="1:8" x14ac:dyDescent="0.3">
      <c r="A62" s="70" t="s">
        <v>91</v>
      </c>
      <c r="B62" s="64"/>
      <c r="C62" s="64"/>
      <c r="D62" s="64"/>
      <c r="E62" s="64"/>
      <c r="F62" s="64"/>
      <c r="G62" s="64"/>
      <c r="H62" s="64"/>
    </row>
    <row r="63" spans="1:8" x14ac:dyDescent="0.3">
      <c r="A63" t="s">
        <v>92</v>
      </c>
    </row>
    <row r="64" spans="1:8" x14ac:dyDescent="0.3">
      <c r="A64" t="s">
        <v>93</v>
      </c>
    </row>
    <row r="65" spans="1:1" x14ac:dyDescent="0.3">
      <c r="A65" t="s">
        <v>94</v>
      </c>
    </row>
  </sheetData>
  <mergeCells count="47">
    <mergeCell ref="A62:H62"/>
    <mergeCell ref="A53:H53"/>
    <mergeCell ref="A35:H35"/>
    <mergeCell ref="A20:H20"/>
    <mergeCell ref="A38:H38"/>
    <mergeCell ref="A43:H43"/>
    <mergeCell ref="A52:H52"/>
    <mergeCell ref="A28:H28"/>
    <mergeCell ref="A44:H44"/>
    <mergeCell ref="A58:H58"/>
    <mergeCell ref="A34:H34"/>
    <mergeCell ref="A56:H56"/>
    <mergeCell ref="A50:H50"/>
    <mergeCell ref="A46:H46"/>
    <mergeCell ref="A37:H37"/>
    <mergeCell ref="A27:H27"/>
    <mergeCell ref="A13:H13"/>
    <mergeCell ref="A16:H16"/>
    <mergeCell ref="A30:D30"/>
    <mergeCell ref="A41:H41"/>
    <mergeCell ref="A18:H18"/>
    <mergeCell ref="A26:H26"/>
    <mergeCell ref="A21:H21"/>
    <mergeCell ref="A55:H55"/>
    <mergeCell ref="A42:H42"/>
    <mergeCell ref="A33:H33"/>
    <mergeCell ref="A54:H54"/>
    <mergeCell ref="A51:H51"/>
    <mergeCell ref="A36:H36"/>
    <mergeCell ref="A48:H48"/>
    <mergeCell ref="A47:H47"/>
    <mergeCell ref="A1:H1"/>
    <mergeCell ref="A45:H45"/>
    <mergeCell ref="A6:H6"/>
    <mergeCell ref="A7:H7"/>
    <mergeCell ref="A25:H25"/>
    <mergeCell ref="A8:H8"/>
    <mergeCell ref="A4:H4"/>
    <mergeCell ref="A10:H10"/>
    <mergeCell ref="A9:H9"/>
    <mergeCell ref="A39:H39"/>
    <mergeCell ref="A15:H15"/>
    <mergeCell ref="A24:H24"/>
    <mergeCell ref="A12:H12"/>
    <mergeCell ref="A14:H14"/>
    <mergeCell ref="A22:H22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workbookViewId="0">
      <selection activeCell="H5" sqref="H5"/>
    </sheetView>
  </sheetViews>
  <sheetFormatPr defaultRowHeight="14.4" x14ac:dyDescent="0.3"/>
  <cols>
    <col min="1" max="1" width="34" customWidth="1"/>
    <col min="2" max="2" width="18" customWidth="1"/>
  </cols>
  <sheetData>
    <row r="1" spans="1:4" ht="18" customHeight="1" x14ac:dyDescent="0.35">
      <c r="A1" s="72" t="s">
        <v>95</v>
      </c>
      <c r="B1" s="64"/>
      <c r="C1" s="64"/>
      <c r="D1" s="64"/>
    </row>
    <row r="3" spans="1:4" x14ac:dyDescent="0.3">
      <c r="A3" s="5" t="s">
        <v>96</v>
      </c>
      <c r="B3" s="12">
        <v>242.66</v>
      </c>
    </row>
    <row r="4" spans="1:4" x14ac:dyDescent="0.3">
      <c r="A4" s="5" t="s">
        <v>97</v>
      </c>
      <c r="B4" s="12">
        <v>55</v>
      </c>
    </row>
    <row r="5" spans="1:4" x14ac:dyDescent="0.3">
      <c r="A5" s="5" t="s">
        <v>98</v>
      </c>
      <c r="B5" s="12">
        <v>1.5</v>
      </c>
    </row>
    <row r="6" spans="1:4" x14ac:dyDescent="0.3">
      <c r="A6" s="5" t="s">
        <v>99</v>
      </c>
      <c r="B6" s="12">
        <v>30</v>
      </c>
    </row>
    <row r="7" spans="1:4" x14ac:dyDescent="0.3">
      <c r="A7" s="5" t="s">
        <v>100</v>
      </c>
      <c r="B7" s="12">
        <v>40</v>
      </c>
    </row>
    <row r="8" spans="1:4" x14ac:dyDescent="0.3">
      <c r="A8" s="5" t="s">
        <v>101</v>
      </c>
      <c r="B8" s="12">
        <v>50</v>
      </c>
      <c r="D8" s="37" t="s">
        <v>102</v>
      </c>
    </row>
    <row r="9" spans="1:4" x14ac:dyDescent="0.3">
      <c r="A9" s="5" t="s">
        <v>103</v>
      </c>
      <c r="B9" s="12">
        <v>-23.81</v>
      </c>
      <c r="D9" t="s">
        <v>104</v>
      </c>
    </row>
    <row r="10" spans="1:4" x14ac:dyDescent="0.3">
      <c r="A10" s="5" t="s">
        <v>105</v>
      </c>
      <c r="B10" s="2">
        <f>ABS(B9)*1.5</f>
        <v>35.714999999999996</v>
      </c>
      <c r="D10" t="s">
        <v>106</v>
      </c>
    </row>
    <row r="11" spans="1:4" x14ac:dyDescent="0.3">
      <c r="A11" s="5" t="s">
        <v>107</v>
      </c>
      <c r="B11" s="12">
        <v>0.01</v>
      </c>
      <c r="D11" t="s">
        <v>108</v>
      </c>
    </row>
    <row r="12" spans="1:4" x14ac:dyDescent="0.3">
      <c r="A12" s="5" t="s">
        <v>109</v>
      </c>
      <c r="B12" s="12">
        <v>0.02</v>
      </c>
    </row>
    <row r="13" spans="1:4" x14ac:dyDescent="0.3">
      <c r="A13" s="5" t="s">
        <v>110</v>
      </c>
      <c r="B13" s="12">
        <v>350</v>
      </c>
    </row>
    <row r="14" spans="1:4" x14ac:dyDescent="0.3">
      <c r="B14" s="12"/>
    </row>
    <row r="15" spans="1:4" x14ac:dyDescent="0.3">
      <c r="A15" s="5" t="s">
        <v>111</v>
      </c>
      <c r="B15" s="12">
        <v>22</v>
      </c>
    </row>
    <row r="16" spans="1:4" x14ac:dyDescent="0.3">
      <c r="A16" s="5" t="s">
        <v>112</v>
      </c>
      <c r="B16" s="12" t="s">
        <v>113</v>
      </c>
    </row>
    <row r="17" spans="1:2" x14ac:dyDescent="0.3">
      <c r="A17" s="38" t="s">
        <v>114</v>
      </c>
      <c r="B17" s="39">
        <v>40</v>
      </c>
    </row>
    <row r="18" spans="1:2" x14ac:dyDescent="0.3">
      <c r="A18" s="38" t="s">
        <v>115</v>
      </c>
      <c r="B18" s="40">
        <f>B3-B17</f>
        <v>202.66</v>
      </c>
    </row>
  </sheetData>
  <sheetProtection sheet="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showGridLines="0" topLeftCell="A6" workbookViewId="0">
      <selection activeCell="C28" sqref="C28"/>
    </sheetView>
  </sheetViews>
  <sheetFormatPr defaultRowHeight="14.4" x14ac:dyDescent="0.3"/>
  <cols>
    <col min="1" max="1" width="20" customWidth="1"/>
    <col min="2" max="2" width="30" customWidth="1"/>
    <col min="3" max="3" width="52" customWidth="1"/>
    <col min="4" max="4" width="14" customWidth="1"/>
    <col min="5" max="5" width="30" customWidth="1"/>
  </cols>
  <sheetData>
    <row r="1" spans="1:8" ht="18" customHeight="1" x14ac:dyDescent="0.35">
      <c r="A1" s="72" t="s">
        <v>116</v>
      </c>
      <c r="B1" s="64"/>
      <c r="C1" s="64"/>
      <c r="D1" s="64"/>
      <c r="E1" s="64"/>
      <c r="F1" s="64"/>
      <c r="G1" s="64"/>
      <c r="H1" s="64"/>
    </row>
    <row r="3" spans="1:8" x14ac:dyDescent="0.3">
      <c r="A3" s="69" t="s">
        <v>117</v>
      </c>
      <c r="B3" s="64"/>
      <c r="C3" s="64"/>
      <c r="D3" s="64"/>
      <c r="E3" s="64"/>
      <c r="F3" s="64"/>
      <c r="G3" s="64"/>
      <c r="H3" s="64"/>
    </row>
    <row r="4" spans="1:8" x14ac:dyDescent="0.3">
      <c r="A4" s="16" t="s">
        <v>118</v>
      </c>
    </row>
    <row r="5" spans="1:8" x14ac:dyDescent="0.3">
      <c r="A5" s="16" t="s">
        <v>119</v>
      </c>
    </row>
    <row r="6" spans="1:8" x14ac:dyDescent="0.3">
      <c r="A6" s="16" t="s">
        <v>120</v>
      </c>
    </row>
    <row r="8" spans="1:8" x14ac:dyDescent="0.3">
      <c r="A8" s="69" t="s">
        <v>121</v>
      </c>
      <c r="B8" s="64"/>
      <c r="C8" s="64"/>
      <c r="D8" s="64"/>
      <c r="E8" s="64"/>
      <c r="F8" s="64"/>
      <c r="G8" s="64"/>
      <c r="H8" s="64"/>
    </row>
    <row r="9" spans="1:8" x14ac:dyDescent="0.3">
      <c r="A9" s="16" t="s">
        <v>122</v>
      </c>
    </row>
    <row r="10" spans="1:8" x14ac:dyDescent="0.3">
      <c r="A10" s="16" t="s">
        <v>123</v>
      </c>
    </row>
    <row r="11" spans="1:8" x14ac:dyDescent="0.3">
      <c r="A11" s="16" t="s">
        <v>124</v>
      </c>
    </row>
    <row r="12" spans="1:8" x14ac:dyDescent="0.3">
      <c r="A12" s="16" t="s">
        <v>125</v>
      </c>
    </row>
    <row r="13" spans="1:8" x14ac:dyDescent="0.3">
      <c r="A13" s="16" t="s">
        <v>126</v>
      </c>
    </row>
    <row r="15" spans="1:8" x14ac:dyDescent="0.3">
      <c r="A15" s="69" t="s">
        <v>127</v>
      </c>
      <c r="B15" s="64"/>
      <c r="C15" s="64"/>
      <c r="D15" s="64"/>
      <c r="E15" s="64"/>
      <c r="F15" s="64"/>
      <c r="G15" s="64"/>
      <c r="H15" s="64"/>
    </row>
    <row r="16" spans="1:8" x14ac:dyDescent="0.3">
      <c r="A16" s="3" t="s">
        <v>128</v>
      </c>
      <c r="B16" s="3" t="s">
        <v>129</v>
      </c>
      <c r="C16" s="3" t="s">
        <v>130</v>
      </c>
      <c r="D16" s="3" t="s">
        <v>131</v>
      </c>
      <c r="E16" s="3" t="s">
        <v>132</v>
      </c>
    </row>
    <row r="17" spans="1:5" x14ac:dyDescent="0.3">
      <c r="A17" s="16" t="s">
        <v>133</v>
      </c>
      <c r="B17" s="16" t="s">
        <v>96</v>
      </c>
      <c r="C17" s="16" t="s">
        <v>134</v>
      </c>
      <c r="D17" s="16" t="s">
        <v>135</v>
      </c>
      <c r="E17" s="16" t="s">
        <v>136</v>
      </c>
    </row>
    <row r="18" spans="1:5" x14ac:dyDescent="0.3">
      <c r="A18" s="16" t="s">
        <v>133</v>
      </c>
      <c r="B18" s="16" t="s">
        <v>97</v>
      </c>
      <c r="C18" s="16" t="s">
        <v>137</v>
      </c>
      <c r="D18" s="16" t="s">
        <v>135</v>
      </c>
      <c r="E18" s="16" t="s">
        <v>138</v>
      </c>
    </row>
    <row r="19" spans="1:5" x14ac:dyDescent="0.3">
      <c r="A19" s="16" t="s">
        <v>133</v>
      </c>
      <c r="B19" s="16" t="s">
        <v>98</v>
      </c>
      <c r="C19" s="16" t="s">
        <v>139</v>
      </c>
      <c r="D19" s="16" t="s">
        <v>135</v>
      </c>
      <c r="E19" s="16" t="s">
        <v>140</v>
      </c>
    </row>
    <row r="20" spans="1:5" x14ac:dyDescent="0.3">
      <c r="A20" s="16" t="s">
        <v>133</v>
      </c>
      <c r="B20" s="16" t="s">
        <v>141</v>
      </c>
      <c r="C20" s="16" t="s">
        <v>142</v>
      </c>
      <c r="D20" s="16" t="s">
        <v>135</v>
      </c>
      <c r="E20" s="16" t="s">
        <v>143</v>
      </c>
    </row>
    <row r="21" spans="1:5" x14ac:dyDescent="0.3">
      <c r="A21" s="16" t="s">
        <v>133</v>
      </c>
      <c r="B21" s="16" t="s">
        <v>103</v>
      </c>
      <c r="C21" s="16" t="s">
        <v>144</v>
      </c>
      <c r="D21" s="16" t="s">
        <v>135</v>
      </c>
      <c r="E21" s="16" t="s">
        <v>145</v>
      </c>
    </row>
    <row r="22" spans="1:5" x14ac:dyDescent="0.3">
      <c r="A22" s="16" t="s">
        <v>133</v>
      </c>
      <c r="B22" s="16" t="s">
        <v>146</v>
      </c>
      <c r="C22" s="16" t="s">
        <v>147</v>
      </c>
      <c r="D22" s="16" t="s">
        <v>148</v>
      </c>
      <c r="E22" s="16" t="s">
        <v>149</v>
      </c>
    </row>
    <row r="23" spans="1:5" x14ac:dyDescent="0.3">
      <c r="A23" s="16" t="s">
        <v>133</v>
      </c>
      <c r="B23" s="16" t="s">
        <v>150</v>
      </c>
      <c r="C23" s="16" t="s">
        <v>151</v>
      </c>
      <c r="D23" s="16" t="s">
        <v>135</v>
      </c>
      <c r="E23" s="16" t="s">
        <v>152</v>
      </c>
    </row>
    <row r="24" spans="1:5" x14ac:dyDescent="0.3">
      <c r="A24" s="16" t="s">
        <v>133</v>
      </c>
      <c r="B24" s="16" t="s">
        <v>110</v>
      </c>
      <c r="C24" s="16" t="s">
        <v>153</v>
      </c>
      <c r="D24" s="16" t="s">
        <v>135</v>
      </c>
      <c r="E24" s="16" t="s">
        <v>154</v>
      </c>
    </row>
    <row r="25" spans="1:5" x14ac:dyDescent="0.3">
      <c r="A25" s="16" t="s">
        <v>133</v>
      </c>
      <c r="B25" s="16" t="s">
        <v>155</v>
      </c>
      <c r="C25" s="16" t="s">
        <v>156</v>
      </c>
      <c r="D25" s="16" t="s">
        <v>135</v>
      </c>
      <c r="E25" s="16" t="s">
        <v>157</v>
      </c>
    </row>
    <row r="26" spans="1:5" x14ac:dyDescent="0.3">
      <c r="A26" s="16" t="s">
        <v>158</v>
      </c>
      <c r="B26" s="16" t="s">
        <v>159</v>
      </c>
      <c r="C26" s="16" t="s">
        <v>160</v>
      </c>
      <c r="D26" s="16" t="s">
        <v>135</v>
      </c>
      <c r="E26" s="16" t="s">
        <v>161</v>
      </c>
    </row>
    <row r="27" spans="1:5" x14ac:dyDescent="0.3">
      <c r="A27" s="16" t="s">
        <v>158</v>
      </c>
      <c r="B27" s="16" t="s">
        <v>162</v>
      </c>
      <c r="C27" s="16" t="s">
        <v>163</v>
      </c>
      <c r="D27" s="16" t="s">
        <v>148</v>
      </c>
      <c r="E27" s="16" t="s">
        <v>164</v>
      </c>
    </row>
    <row r="28" spans="1:5" x14ac:dyDescent="0.3">
      <c r="A28" s="16" t="s">
        <v>158</v>
      </c>
      <c r="B28" s="16" t="s">
        <v>165</v>
      </c>
      <c r="C28" s="16" t="s">
        <v>166</v>
      </c>
      <c r="D28" s="16" t="s">
        <v>135</v>
      </c>
      <c r="E28" s="16" t="s">
        <v>167</v>
      </c>
    </row>
    <row r="29" spans="1:5" x14ac:dyDescent="0.3">
      <c r="A29" s="16" t="s">
        <v>168</v>
      </c>
      <c r="B29" s="16" t="s">
        <v>169</v>
      </c>
      <c r="C29" s="16" t="s">
        <v>170</v>
      </c>
      <c r="D29" s="16" t="s">
        <v>135</v>
      </c>
      <c r="E29" s="16" t="s">
        <v>171</v>
      </c>
    </row>
    <row r="30" spans="1:5" x14ac:dyDescent="0.3">
      <c r="A30" s="16" t="s">
        <v>172</v>
      </c>
      <c r="B30" s="16" t="s">
        <v>173</v>
      </c>
      <c r="C30" s="16" t="s">
        <v>174</v>
      </c>
      <c r="D30" s="16" t="s">
        <v>135</v>
      </c>
      <c r="E30" s="16" t="s">
        <v>175</v>
      </c>
    </row>
    <row r="31" spans="1:5" x14ac:dyDescent="0.3">
      <c r="A31" s="16" t="s">
        <v>176</v>
      </c>
      <c r="B31" s="16" t="s">
        <v>177</v>
      </c>
      <c r="C31" s="16" t="s">
        <v>178</v>
      </c>
      <c r="D31" s="16" t="s">
        <v>148</v>
      </c>
      <c r="E31" s="16" t="s">
        <v>179</v>
      </c>
    </row>
    <row r="32" spans="1:5" x14ac:dyDescent="0.3">
      <c r="A32" s="16" t="s">
        <v>180</v>
      </c>
      <c r="B32" s="16" t="s">
        <v>181</v>
      </c>
      <c r="C32" s="16" t="s">
        <v>182</v>
      </c>
      <c r="D32" s="16" t="s">
        <v>135</v>
      </c>
      <c r="E32" s="16" t="s">
        <v>183</v>
      </c>
    </row>
    <row r="33" spans="1:5" x14ac:dyDescent="0.3">
      <c r="A33" s="16" t="s">
        <v>184</v>
      </c>
      <c r="B33" s="16" t="s">
        <v>185</v>
      </c>
      <c r="C33" s="16" t="s">
        <v>186</v>
      </c>
      <c r="D33" s="16" t="s">
        <v>135</v>
      </c>
      <c r="E33" s="16" t="s">
        <v>187</v>
      </c>
    </row>
    <row r="34" spans="1:5" x14ac:dyDescent="0.3">
      <c r="A34" s="16" t="s">
        <v>188</v>
      </c>
      <c r="B34" s="16" t="s">
        <v>189</v>
      </c>
      <c r="C34" s="16" t="s">
        <v>190</v>
      </c>
      <c r="D34" s="16" t="s">
        <v>135</v>
      </c>
      <c r="E34" s="16" t="s">
        <v>191</v>
      </c>
    </row>
    <row r="35" spans="1:5" x14ac:dyDescent="0.3">
      <c r="A35" s="16" t="s">
        <v>192</v>
      </c>
      <c r="B35" s="16" t="s">
        <v>193</v>
      </c>
      <c r="C35" s="16" t="s">
        <v>194</v>
      </c>
      <c r="D35" s="16" t="s">
        <v>148</v>
      </c>
      <c r="E35" s="16" t="s">
        <v>179</v>
      </c>
    </row>
    <row r="36" spans="1:5" x14ac:dyDescent="0.3">
      <c r="A36" s="16" t="s">
        <v>195</v>
      </c>
      <c r="B36" s="16" t="s">
        <v>196</v>
      </c>
      <c r="C36" s="16" t="s">
        <v>197</v>
      </c>
      <c r="D36" s="16" t="s">
        <v>148</v>
      </c>
      <c r="E36" s="16" t="s">
        <v>179</v>
      </c>
    </row>
    <row r="37" spans="1:5" x14ac:dyDescent="0.3">
      <c r="A37" s="16" t="s">
        <v>198</v>
      </c>
      <c r="B37" s="16" t="s">
        <v>199</v>
      </c>
      <c r="C37" s="16" t="s">
        <v>200</v>
      </c>
      <c r="D37" s="16" t="s">
        <v>135</v>
      </c>
      <c r="E37" s="16" t="s">
        <v>201</v>
      </c>
    </row>
    <row r="38" spans="1:5" x14ac:dyDescent="0.3">
      <c r="A38" s="16" t="s">
        <v>202</v>
      </c>
      <c r="B38" s="16" t="s">
        <v>203</v>
      </c>
      <c r="C38" s="16" t="s">
        <v>204</v>
      </c>
      <c r="D38" s="16" t="s">
        <v>135</v>
      </c>
      <c r="E38" s="16" t="s">
        <v>205</v>
      </c>
    </row>
    <row r="39" spans="1:5" x14ac:dyDescent="0.3">
      <c r="A39" s="16" t="s">
        <v>206</v>
      </c>
      <c r="B39" s="16" t="s">
        <v>207</v>
      </c>
      <c r="C39" s="16" t="s">
        <v>208</v>
      </c>
      <c r="D39" s="16" t="s">
        <v>148</v>
      </c>
      <c r="E39" s="16" t="s">
        <v>209</v>
      </c>
    </row>
    <row r="41" spans="1:5" x14ac:dyDescent="0.3">
      <c r="A41" s="69" t="s">
        <v>210</v>
      </c>
      <c r="B41" s="64"/>
      <c r="C41" s="64"/>
      <c r="D41" s="64"/>
      <c r="E41" s="64"/>
    </row>
    <row r="42" spans="1:5" x14ac:dyDescent="0.3">
      <c r="A42" t="s">
        <v>211</v>
      </c>
    </row>
    <row r="43" spans="1:5" x14ac:dyDescent="0.3">
      <c r="A43" t="s">
        <v>212</v>
      </c>
    </row>
    <row r="44" spans="1:5" x14ac:dyDescent="0.3">
      <c r="A44" t="s">
        <v>213</v>
      </c>
    </row>
    <row r="46" spans="1:5" x14ac:dyDescent="0.3">
      <c r="A46" s="71" t="s">
        <v>214</v>
      </c>
      <c r="B46" s="64"/>
      <c r="C46" s="64"/>
      <c r="D46" s="64"/>
      <c r="E46" s="64"/>
    </row>
    <row r="47" spans="1:5" x14ac:dyDescent="0.3">
      <c r="A47" t="s">
        <v>215</v>
      </c>
    </row>
    <row r="48" spans="1:5" x14ac:dyDescent="0.3">
      <c r="A48" t="s">
        <v>216</v>
      </c>
    </row>
    <row r="49" spans="1:5" x14ac:dyDescent="0.3">
      <c r="A49" t="s">
        <v>217</v>
      </c>
    </row>
    <row r="50" spans="1:5" x14ac:dyDescent="0.3">
      <c r="A50" t="s">
        <v>218</v>
      </c>
    </row>
    <row r="52" spans="1:5" x14ac:dyDescent="0.3">
      <c r="A52" s="70" t="s">
        <v>219</v>
      </c>
      <c r="B52" s="64"/>
      <c r="C52" s="64"/>
      <c r="D52" s="64"/>
      <c r="E52" s="64"/>
    </row>
    <row r="53" spans="1:5" x14ac:dyDescent="0.3">
      <c r="A53" t="s">
        <v>220</v>
      </c>
    </row>
    <row r="54" spans="1:5" x14ac:dyDescent="0.3">
      <c r="A54" t="s">
        <v>221</v>
      </c>
    </row>
    <row r="55" spans="1:5" x14ac:dyDescent="0.3">
      <c r="A55" t="s">
        <v>222</v>
      </c>
    </row>
    <row r="56" spans="1:5" x14ac:dyDescent="0.3">
      <c r="A56" t="s">
        <v>223</v>
      </c>
    </row>
  </sheetData>
  <sheetProtection sheet="1"/>
  <mergeCells count="7">
    <mergeCell ref="A1:H1"/>
    <mergeCell ref="A8:H8"/>
    <mergeCell ref="A3:H3"/>
    <mergeCell ref="A15:H15"/>
    <mergeCell ref="A52:E52"/>
    <mergeCell ref="A41:E41"/>
    <mergeCell ref="A46:E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8"/>
  <sheetViews>
    <sheetView showGridLines="0" tabSelected="1" workbookViewId="0">
      <selection activeCell="A4" sqref="A4"/>
    </sheetView>
  </sheetViews>
  <sheetFormatPr defaultRowHeight="14.4" x14ac:dyDescent="0.3"/>
  <cols>
    <col min="1" max="1" width="24" customWidth="1"/>
    <col min="2" max="2" width="18" customWidth="1"/>
    <col min="4" max="4" width="20" customWidth="1"/>
    <col min="5" max="5" width="36" customWidth="1"/>
    <col min="10" max="10" width="22" customWidth="1"/>
    <col min="11" max="11" width="20" customWidth="1"/>
  </cols>
  <sheetData>
    <row r="1" spans="1:11" ht="23.4" customHeight="1" x14ac:dyDescent="0.45">
      <c r="A1" s="74" t="s">
        <v>260</v>
      </c>
      <c r="B1" s="64"/>
      <c r="C1" s="64"/>
      <c r="D1" s="64"/>
      <c r="E1" s="64"/>
      <c r="F1" s="64"/>
      <c r="G1" s="64"/>
      <c r="H1" s="64"/>
    </row>
    <row r="3" spans="1:11" x14ac:dyDescent="0.3">
      <c r="A3" s="20" t="s">
        <v>261</v>
      </c>
      <c r="B3" s="2">
        <f>Config!B3</f>
        <v>242.66</v>
      </c>
      <c r="D3" s="6" t="s">
        <v>262</v>
      </c>
      <c r="J3" s="6" t="s">
        <v>263</v>
      </c>
    </row>
    <row r="4" spans="1:11" x14ac:dyDescent="0.3">
      <c r="A4" s="5" t="s">
        <v>264</v>
      </c>
      <c r="B4" s="2">
        <f>SUM('Registo Diário'!C2:C101)</f>
        <v>-5.5099999999999989</v>
      </c>
      <c r="D4" s="16" t="str">
        <f>IF(B4&lt;Config!B10*0.6,"🔴 Abaixo do ideal",IF(B4&lt;Config!B10,"🟡 Em recuperação","🟢 Saudável"))</f>
        <v>🔴 Abaixo do ideal</v>
      </c>
      <c r="J4" s="5" t="s">
        <v>265</v>
      </c>
      <c r="K4" s="2">
        <f>Config!B3</f>
        <v>242.66</v>
      </c>
    </row>
    <row r="5" spans="1:11" x14ac:dyDescent="0.3">
      <c r="A5" s="5" t="s">
        <v>266</v>
      </c>
      <c r="B5" s="2">
        <f>B3+Config!B6</f>
        <v>272.65999999999997</v>
      </c>
      <c r="D5" s="16" t="s">
        <v>267</v>
      </c>
      <c r="E5" s="16" t="s">
        <v>268</v>
      </c>
      <c r="J5" s="5" t="s">
        <v>269</v>
      </c>
      <c r="K5" s="2">
        <f>SUM('Registo Diário'!C2:C101)</f>
        <v>-5.5099999999999989</v>
      </c>
    </row>
    <row r="6" spans="1:11" x14ac:dyDescent="0.3">
      <c r="A6" s="5" t="s">
        <v>270</v>
      </c>
      <c r="B6" s="7">
        <f>Config!B10</f>
        <v>35.714999999999996</v>
      </c>
      <c r="J6" s="5" t="s">
        <v>271</v>
      </c>
      <c r="K6" s="2">
        <f>'Score de Saude'!B7</f>
        <v>55</v>
      </c>
    </row>
    <row r="7" spans="1:11" x14ac:dyDescent="0.3">
      <c r="A7" s="5" t="s">
        <v>272</v>
      </c>
      <c r="B7" s="7">
        <f>Config!B13</f>
        <v>350</v>
      </c>
      <c r="D7" s="6" t="s">
        <v>249</v>
      </c>
      <c r="J7" s="5" t="s">
        <v>13</v>
      </c>
      <c r="K7" s="2" t="str">
        <f>'Score de Saude'!B8</f>
        <v>Aceitável</v>
      </c>
    </row>
    <row r="8" spans="1:11" x14ac:dyDescent="0.3">
      <c r="A8" s="5" t="s">
        <v>107</v>
      </c>
      <c r="B8" s="2">
        <f>Config!B11</f>
        <v>0.01</v>
      </c>
      <c r="D8" s="16" t="str">
        <f>IF(Config!B3&lt;250,"Manter 3 pares",IF(Config!B3&lt;350,"Pode avaliar AUDUSD","Pode avaliar AUDUSD + USDCHF"))</f>
        <v>Manter 3 pares</v>
      </c>
      <c r="J8" s="5" t="s">
        <v>273</v>
      </c>
      <c r="K8" s="7">
        <f>Config!B13</f>
        <v>350</v>
      </c>
    </row>
    <row r="9" spans="1:11" x14ac:dyDescent="0.3">
      <c r="D9" s="16" t="s">
        <v>274</v>
      </c>
      <c r="J9" s="5" t="s">
        <v>275</v>
      </c>
      <c r="K9" s="10">
        <f>Projeções!K5</f>
        <v>46113</v>
      </c>
    </row>
    <row r="10" spans="1:11" x14ac:dyDescent="0.3">
      <c r="A10" s="20" t="s">
        <v>276</v>
      </c>
      <c r="D10" s="6" t="s">
        <v>277</v>
      </c>
      <c r="J10" s="5" t="s">
        <v>278</v>
      </c>
      <c r="K10" s="2" t="str">
        <f>IF(Config!B3&lt;250,"Manter 3 pares",IF(Config!B3&lt;350,"Avaliar AUDUSD","Avaliar AUDUSD + USDCHF"))</f>
        <v>Manter 3 pares</v>
      </c>
    </row>
    <row r="11" spans="1:11" x14ac:dyDescent="0.3">
      <c r="D11" s="5" t="s">
        <v>279</v>
      </c>
      <c r="E11" s="16" t="str">
        <f>IF(Config!B3&gt;=Config!B13,"Rever lote 0.02","Manter lote atual")</f>
        <v>Manter lote atual</v>
      </c>
      <c r="J11" s="5" t="s">
        <v>280</v>
      </c>
      <c r="K11" s="2">
        <f>Config!B11</f>
        <v>0.01</v>
      </c>
    </row>
    <row r="12" spans="1:11" x14ac:dyDescent="0.3">
      <c r="D12" s="5" t="s">
        <v>281</v>
      </c>
      <c r="E12" s="16" t="str">
        <f>IF(Config!B3&gt;=250,"Pode avaliar AUDUSD","Ainda não")</f>
        <v>Ainda não</v>
      </c>
    </row>
    <row r="13" spans="1:11" x14ac:dyDescent="0.3">
      <c r="D13" s="5" t="s">
        <v>282</v>
      </c>
      <c r="E13" s="16" t="str">
        <f>IF(Config!B3&gt;=350,"Pode avaliar USDCHF","Ainda não")</f>
        <v>Ainda não</v>
      </c>
    </row>
    <row r="14" spans="1:11" x14ac:dyDescent="0.3">
      <c r="D14" s="5" t="s">
        <v>283</v>
      </c>
      <c r="E14" s="16" t="str">
        <f>IF(B4&lt;Config!B10*0.6,"Abaixo do ideal",IF(B4&lt;Config!B10,"Em recuperação","Saudável"))</f>
        <v>Abaixo do ideal</v>
      </c>
    </row>
    <row r="15" spans="1:11" x14ac:dyDescent="0.3">
      <c r="D15" s="5" t="s">
        <v>284</v>
      </c>
      <c r="E15" s="16" t="str">
        <f>IF(B20&lt;Config!B6,"🔴",IF(B20&lt;Config!B7,"🟡","🟢"))</f>
        <v>🔴</v>
      </c>
    </row>
    <row r="17" spans="1:11" x14ac:dyDescent="0.3">
      <c r="A17" s="20" t="s">
        <v>285</v>
      </c>
    </row>
    <row r="19" spans="1:11" x14ac:dyDescent="0.3">
      <c r="A19" s="6" t="s">
        <v>286</v>
      </c>
    </row>
    <row r="20" spans="1:11" x14ac:dyDescent="0.3">
      <c r="A20" s="5" t="s">
        <v>287</v>
      </c>
      <c r="B20" s="2">
        <f>SUM('Registo Diário'!C2:C101)</f>
        <v>-5.5099999999999989</v>
      </c>
    </row>
    <row r="21" spans="1:11" x14ac:dyDescent="0.3">
      <c r="A21" s="5" t="s">
        <v>288</v>
      </c>
      <c r="B21" s="2">
        <f>Config!B6</f>
        <v>30</v>
      </c>
    </row>
    <row r="22" spans="1:11" x14ac:dyDescent="0.3">
      <c r="A22" s="5" t="s">
        <v>289</v>
      </c>
      <c r="B22" s="2">
        <f>Config!B7</f>
        <v>40</v>
      </c>
    </row>
    <row r="23" spans="1:11" x14ac:dyDescent="0.3">
      <c r="A23" s="5" t="s">
        <v>290</v>
      </c>
      <c r="B23" s="2">
        <f>Config!B8</f>
        <v>50</v>
      </c>
    </row>
    <row r="24" spans="1:11" x14ac:dyDescent="0.3">
      <c r="A24" s="5" t="s">
        <v>291</v>
      </c>
      <c r="B24" s="8" t="str">
        <f>IF(B20&lt;Config!B6,"🔴 Abaixo da meta",IF(B20&lt;Config!B7,"🟡 Meta mínima atingida",IF(B20&lt;Config!B8,"🟢 Meta boa","🚀 Meta excelente")))</f>
        <v>🔴 Abaixo da meta</v>
      </c>
    </row>
    <row r="26" spans="1:11" x14ac:dyDescent="0.3">
      <c r="A26" s="6" t="s">
        <v>292</v>
      </c>
      <c r="J26" s="6" t="s">
        <v>293</v>
      </c>
      <c r="K26" s="7" t="s">
        <v>294</v>
      </c>
    </row>
    <row r="27" spans="1:11" x14ac:dyDescent="0.3">
      <c r="A27" s="16" t="s">
        <v>295</v>
      </c>
      <c r="J27" s="6" t="s">
        <v>296</v>
      </c>
    </row>
    <row r="28" spans="1:11" x14ac:dyDescent="0.3">
      <c r="A28" s="16" t="s">
        <v>297</v>
      </c>
      <c r="J28" s="5" t="s">
        <v>298</v>
      </c>
      <c r="K28" s="2">
        <f>'Simulador 10k'!F5</f>
        <v>127.23818181818181</v>
      </c>
    </row>
    <row r="29" spans="1:11" x14ac:dyDescent="0.3">
      <c r="A29" s="16" t="s">
        <v>299</v>
      </c>
      <c r="J29" s="5" t="s">
        <v>300</v>
      </c>
      <c r="K29" s="7" t="str">
        <f>'Indicador Lote'!B13</f>
        <v>Manter lote atual</v>
      </c>
    </row>
    <row r="30" spans="1:11" x14ac:dyDescent="0.3">
      <c r="A30" s="16" t="s">
        <v>301</v>
      </c>
      <c r="J30" s="5" t="s">
        <v>302</v>
      </c>
      <c r="K30" s="2" t="str">
        <f>'Indicador Lote'!B10</f>
        <v>Não</v>
      </c>
    </row>
    <row r="31" spans="1:11" x14ac:dyDescent="0.3">
      <c r="A31" s="16" t="s">
        <v>303</v>
      </c>
      <c r="J31" s="5" t="s">
        <v>304</v>
      </c>
      <c r="K31" s="2" t="str">
        <f>'Indicador Lote'!B11</f>
        <v>Não</v>
      </c>
    </row>
    <row r="32" spans="1:11" x14ac:dyDescent="0.3">
      <c r="A32" s="16" t="s">
        <v>305</v>
      </c>
      <c r="J32" s="5" t="s">
        <v>306</v>
      </c>
      <c r="K32" s="2" t="str">
        <f>'Indicador Lote'!B12</f>
        <v>Não</v>
      </c>
    </row>
    <row r="33" spans="1:11" x14ac:dyDescent="0.3">
      <c r="A33" s="41" t="s">
        <v>307</v>
      </c>
      <c r="B33" s="40">
        <f>Config!B17</f>
        <v>40</v>
      </c>
      <c r="J33" s="5" t="s">
        <v>308</v>
      </c>
      <c r="K33" s="7" t="s">
        <v>309</v>
      </c>
    </row>
    <row r="34" spans="1:11" x14ac:dyDescent="0.3">
      <c r="A34" s="41" t="s">
        <v>310</v>
      </c>
      <c r="B34" s="40">
        <f>Config!B18</f>
        <v>202.66</v>
      </c>
      <c r="J34" s="41"/>
    </row>
    <row r="35" spans="1:11" x14ac:dyDescent="0.3">
      <c r="J35" s="5" t="s">
        <v>311</v>
      </c>
      <c r="K35" s="2">
        <f>'DD Metrics'!B4</f>
        <v>0</v>
      </c>
    </row>
    <row r="36" spans="1:11" x14ac:dyDescent="0.3">
      <c r="J36" s="5" t="s">
        <v>312</v>
      </c>
      <c r="K36" s="2">
        <f>'DD Metrics'!B5</f>
        <v>1.1799999999999784</v>
      </c>
    </row>
    <row r="37" spans="1:11" x14ac:dyDescent="0.3">
      <c r="J37" s="5" t="s">
        <v>313</v>
      </c>
      <c r="K37" s="2">
        <f>'DD Metrics'!B6</f>
        <v>1.1799999999999784</v>
      </c>
    </row>
    <row r="38" spans="1:11" x14ac:dyDescent="0.3">
      <c r="J38" s="5" t="s">
        <v>314</v>
      </c>
      <c r="K38" s="2" t="str">
        <f>'DD Metrics'!B11</f>
        <v>🔴 Stress Elevado</v>
      </c>
    </row>
    <row r="40" spans="1:11" x14ac:dyDescent="0.3">
      <c r="J40" s="6" t="s">
        <v>315</v>
      </c>
    </row>
    <row r="41" spans="1:11" x14ac:dyDescent="0.3">
      <c r="J41" s="5" t="s">
        <v>229</v>
      </c>
      <c r="K41" s="2" t="str">
        <f>'Plano Rendimentos'!B11</f>
        <v>Acumulação</v>
      </c>
    </row>
    <row r="42" spans="1:11" x14ac:dyDescent="0.3">
      <c r="J42" s="5" t="s">
        <v>316</v>
      </c>
      <c r="K42" s="24">
        <f>'Plano Rendimentos'!B12</f>
        <v>0</v>
      </c>
    </row>
    <row r="43" spans="1:11" x14ac:dyDescent="0.3">
      <c r="J43" s="5" t="s">
        <v>317</v>
      </c>
      <c r="K43" s="25">
        <f>'Plano Rendimentos'!B13</f>
        <v>0</v>
      </c>
    </row>
    <row r="44" spans="1:11" x14ac:dyDescent="0.3">
      <c r="J44" s="5" t="s">
        <v>318</v>
      </c>
      <c r="K44" s="25">
        <f>'Plano Rendimentos'!B14</f>
        <v>33</v>
      </c>
    </row>
    <row r="45" spans="1:11" x14ac:dyDescent="0.3">
      <c r="J45" s="6" t="s">
        <v>319</v>
      </c>
    </row>
    <row r="46" spans="1:11" x14ac:dyDescent="0.3">
      <c r="J46" s="5" t="s">
        <v>320</v>
      </c>
      <c r="K46" s="21">
        <f>'Monitor Saude EA'!B4</f>
        <v>1.1799999999999784</v>
      </c>
    </row>
    <row r="47" spans="1:11" x14ac:dyDescent="0.3">
      <c r="J47" s="5" t="s">
        <v>321</v>
      </c>
      <c r="K47" s="21">
        <f>'Monitor Saude EA'!B5</f>
        <v>0.63499999999999091</v>
      </c>
    </row>
    <row r="48" spans="1:11" x14ac:dyDescent="0.3">
      <c r="J48" s="5" t="s">
        <v>322</v>
      </c>
      <c r="K48" s="21">
        <f>'Monitor Saude EA'!B6</f>
        <v>-0.55099999999999993</v>
      </c>
    </row>
    <row r="49" spans="10:11" x14ac:dyDescent="0.3">
      <c r="J49" s="5" t="s">
        <v>323</v>
      </c>
      <c r="K49" s="2">
        <f>'Monitor Saude EA'!B8</f>
        <v>1</v>
      </c>
    </row>
    <row r="50" spans="10:11" x14ac:dyDescent="0.3">
      <c r="J50" s="5" t="s">
        <v>324</v>
      </c>
      <c r="K50" s="21">
        <f>'Monitor Saude EA'!B9</f>
        <v>-8.6771653543308318</v>
      </c>
    </row>
    <row r="51" spans="10:11" x14ac:dyDescent="0.3">
      <c r="J51" s="5" t="s">
        <v>325</v>
      </c>
      <c r="K51" s="7" t="str">
        <f>'Monitor Saude EA'!B13</f>
        <v>🔴 Degradado</v>
      </c>
    </row>
    <row r="52" spans="10:11" x14ac:dyDescent="0.3">
      <c r="J52" s="42" t="s">
        <v>219</v>
      </c>
    </row>
    <row r="53" spans="10:11" x14ac:dyDescent="0.3">
      <c r="J53" s="43" t="s">
        <v>326</v>
      </c>
      <c r="K53" s="44" t="str">
        <f>'Profit Lock'!B7</f>
        <v>Ainda não</v>
      </c>
    </row>
    <row r="54" spans="10:11" x14ac:dyDescent="0.3">
      <c r="J54" s="43" t="s">
        <v>327</v>
      </c>
      <c r="K54" s="45">
        <f>'Profit Lock'!B10</f>
        <v>202.66</v>
      </c>
    </row>
    <row r="55" spans="10:11" x14ac:dyDescent="0.3">
      <c r="J55" s="43" t="s">
        <v>328</v>
      </c>
      <c r="K55" s="45">
        <f>'Profit Lock'!B11</f>
        <v>0</v>
      </c>
    </row>
    <row r="56" spans="10:11" x14ac:dyDescent="0.3">
      <c r="J56" s="43" t="s">
        <v>329</v>
      </c>
      <c r="K56" s="46" t="str">
        <f>'Profit Lock'!B12</f>
        <v>Informativo</v>
      </c>
    </row>
    <row r="58" spans="10:11" x14ac:dyDescent="0.3">
      <c r="J58" s="73" t="s">
        <v>330</v>
      </c>
      <c r="K58" s="64"/>
    </row>
    <row r="59" spans="10:11" x14ac:dyDescent="0.3">
      <c r="J59" s="58" t="s">
        <v>14</v>
      </c>
      <c r="K59" s="59">
        <f>'Registo Diário'!M3</f>
        <v>13.228813559322276</v>
      </c>
    </row>
    <row r="60" spans="10:11" x14ac:dyDescent="0.3">
      <c r="J60" s="58" t="s">
        <v>15</v>
      </c>
      <c r="K60" s="61" t="str">
        <f>'Registo Diário'!M4</f>
        <v/>
      </c>
    </row>
    <row r="61" spans="10:11" x14ac:dyDescent="0.3">
      <c r="J61" s="58" t="s">
        <v>16</v>
      </c>
      <c r="K61" s="59">
        <f>'Registo Diário'!M5</f>
        <v>-118.05272246035454</v>
      </c>
    </row>
    <row r="62" spans="10:11" x14ac:dyDescent="0.3">
      <c r="J62" s="58" t="s">
        <v>17</v>
      </c>
      <c r="K62" s="60" t="str">
        <f>'Registo Diário'!M7</f>
        <v>🔴 Risco Elevado</v>
      </c>
    </row>
    <row r="64" spans="10:11" x14ac:dyDescent="0.3">
      <c r="J64" s="62" t="s">
        <v>331</v>
      </c>
    </row>
    <row r="65" spans="10:10" x14ac:dyDescent="0.3">
      <c r="J65" t="s">
        <v>332</v>
      </c>
    </row>
    <row r="66" spans="10:10" x14ac:dyDescent="0.3">
      <c r="J66" t="s">
        <v>333</v>
      </c>
    </row>
    <row r="67" spans="10:10" x14ac:dyDescent="0.3">
      <c r="J67" t="s">
        <v>334</v>
      </c>
    </row>
    <row r="68" spans="10:10" x14ac:dyDescent="0.3">
      <c r="J68" t="s">
        <v>335</v>
      </c>
    </row>
  </sheetData>
  <sheetProtection sheet="1"/>
  <mergeCells count="2">
    <mergeCell ref="J58:K58"/>
    <mergeCell ref="A1:H1"/>
  </mergeCells>
  <conditionalFormatting sqref="K59">
    <cfRule type="cellIs" dxfId="23" priority="1" operator="lessThan">
      <formula>1</formula>
    </cfRule>
    <cfRule type="cellIs" dxfId="22" priority="2" operator="between">
      <formula>1</formula>
      <formula>2</formula>
    </cfRule>
    <cfRule type="cellIs" dxfId="21" priority="3" operator="greaterThanOrEqual">
      <formula>2</formula>
    </cfRule>
  </conditionalFormatting>
  <conditionalFormatting sqref="K60">
    <cfRule type="cellIs" dxfId="20" priority="4" operator="greaterThan">
      <formula>10%</formula>
    </cfRule>
    <cfRule type="cellIs" dxfId="19" priority="5" operator="between">
      <formula>5%</formula>
      <formula>10%</formula>
    </cfRule>
    <cfRule type="cellIs" dxfId="18" priority="6" operator="lessThanOrEqual">
      <formula>5%</formula>
    </cfRule>
  </conditionalFormatting>
  <conditionalFormatting sqref="K61">
    <cfRule type="cellIs" dxfId="17" priority="7" operator="lessThan">
      <formula>0.5</formula>
    </cfRule>
    <cfRule type="cellIs" dxfId="16" priority="8" operator="between">
      <formula>0.5</formula>
      <formula>1.5</formula>
    </cfRule>
    <cfRule type="cellIs" dxfId="15" priority="9" operator="greaterThanOrEqual">
      <formula>1.5</formula>
    </cfRule>
  </conditionalFormatting>
  <conditionalFormatting sqref="K62">
    <cfRule type="expression" dxfId="14" priority="10">
      <formula>ISNUMBER(SEARCH("Elevado",$K$62))</formula>
    </cfRule>
    <cfRule type="expression" dxfId="13" priority="11">
      <formula>ISNUMBER(SEARCH("Moderado",$K$62))</formula>
    </cfRule>
    <cfRule type="expression" dxfId="12" priority="12">
      <formula>ISNUMBER(SEARCH("Controlado",$K$62))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6"/>
  <sheetViews>
    <sheetView showGridLines="0" workbookViewId="0">
      <selection activeCell="H10" sqref="H10"/>
    </sheetView>
  </sheetViews>
  <sheetFormatPr defaultColWidth="15.33203125" defaultRowHeight="14.4" x14ac:dyDescent="0.3"/>
  <cols>
    <col min="2" max="2" width="13.88671875" bestFit="1" customWidth="1"/>
    <col min="3" max="3" width="14.33203125" bestFit="1" customWidth="1"/>
    <col min="4" max="4" width="25.6640625" bestFit="1" customWidth="1"/>
    <col min="5" max="5" width="15.21875" bestFit="1" customWidth="1"/>
    <col min="6" max="6" width="12.109375" bestFit="1" customWidth="1"/>
    <col min="7" max="7" width="30.77734375" bestFit="1" customWidth="1"/>
    <col min="8" max="8" width="18.44140625" bestFit="1" customWidth="1"/>
    <col min="9" max="9" width="18.88671875" bestFit="1" customWidth="1"/>
    <col min="11" max="11" width="4.5546875" customWidth="1"/>
    <col min="12" max="12" width="24" customWidth="1"/>
    <col min="13" max="13" width="18" customWidth="1"/>
    <col min="14" max="14" width="20" customWidth="1"/>
  </cols>
  <sheetData>
    <row r="1" spans="1:14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6" t="s">
        <v>6</v>
      </c>
      <c r="H1" s="3" t="s">
        <v>7</v>
      </c>
      <c r="I1" s="3" t="s">
        <v>8</v>
      </c>
      <c r="J1" s="3" t="s">
        <v>9</v>
      </c>
      <c r="L1" s="75" t="s">
        <v>10</v>
      </c>
      <c r="M1" s="64"/>
      <c r="N1" s="64"/>
    </row>
    <row r="2" spans="1:14" x14ac:dyDescent="0.3">
      <c r="A2" s="51">
        <v>46083</v>
      </c>
      <c r="B2" s="31">
        <v>202.66</v>
      </c>
      <c r="C2" s="31">
        <v>4.72</v>
      </c>
      <c r="D2" s="32">
        <f>SUM($C$2:C2)</f>
        <v>4.72</v>
      </c>
      <c r="E2" s="33">
        <f>IF(Config!$B$9&lt;&gt;0,ABS(D2/Config!$B$9),0)</f>
        <v>0.19823603527929443</v>
      </c>
      <c r="F2" s="34" t="str">
        <f t="shared" ref="F2:F33" si="0">IF(E2&lt;0.3,"🔴 Vermelho",IF(E2&lt;0.6,"🟡 Amarelo","🟢 Verde"))</f>
        <v>🔴 Vermelho</v>
      </c>
      <c r="G2" s="31"/>
      <c r="H2" s="52" t="str">
        <f>IF(OR(B2="",G2=""),"",MAX(0,B2-(G2-Config!$B$17)))</f>
        <v/>
      </c>
      <c r="I2" s="55" t="str">
        <f>IF(OR(B2="",G2=""),"",MAX(0,(B2-(G2-Config!$B$17))/B2))</f>
        <v/>
      </c>
      <c r="J2" s="35"/>
      <c r="L2" s="57" t="s">
        <v>11</v>
      </c>
      <c r="M2" s="57" t="s">
        <v>12</v>
      </c>
      <c r="N2" s="57" t="s">
        <v>13</v>
      </c>
    </row>
    <row r="3" spans="1:14" x14ac:dyDescent="0.3">
      <c r="A3" s="51">
        <v>46084</v>
      </c>
      <c r="B3" s="31">
        <v>207.38</v>
      </c>
      <c r="C3" s="31">
        <v>1.4</v>
      </c>
      <c r="D3" s="32">
        <f>SUM($C$2:C3)</f>
        <v>6.1199999999999992</v>
      </c>
      <c r="E3" s="33">
        <f>IF(Config!$B$9&lt;&gt;0,ABS(D3/Config!$B$9),0)</f>
        <v>0.25703485930281395</v>
      </c>
      <c r="F3" s="34" t="str">
        <f t="shared" si="0"/>
        <v>🔴 Vermelho</v>
      </c>
      <c r="G3" s="31"/>
      <c r="H3" s="52" t="str">
        <f>IF(OR(B3="",G3=""),"",MAX(0,B3-(G3-Config!$B$17)))</f>
        <v/>
      </c>
      <c r="I3" s="55" t="str">
        <f>IF(OR(B3="",G3=""),"",MAX(0,(B3-(G3-Config!$B$17))/B3))</f>
        <v/>
      </c>
      <c r="J3" s="35"/>
      <c r="L3" s="58" t="s">
        <v>14</v>
      </c>
      <c r="M3" s="59">
        <f>IFERROR(MAX($D$2:$D$500)/MAX($H$2:$H$500),"")</f>
        <v>13.228813559322276</v>
      </c>
      <c r="N3" s="60" t="str">
        <f>IF(M3="","",IF(M3&lt;1,"🔴 Fraco",IF(M3&lt;2,"🟡 Aceitável","🟢 Bom")))</f>
        <v>🟢 Bom</v>
      </c>
    </row>
    <row r="4" spans="1:14" x14ac:dyDescent="0.3">
      <c r="A4" s="51">
        <v>46085</v>
      </c>
      <c r="B4" s="31">
        <v>208.78</v>
      </c>
      <c r="C4" s="31">
        <v>1.29</v>
      </c>
      <c r="D4" s="32">
        <f>SUM($C$2:C4)</f>
        <v>7.4099999999999993</v>
      </c>
      <c r="E4" s="33">
        <f>IF(Config!$B$9&lt;&gt;0,ABS(D4/Config!$B$9),0)</f>
        <v>0.3112137757244855</v>
      </c>
      <c r="F4" s="34" t="str">
        <f t="shared" si="0"/>
        <v>🟡 Amarelo</v>
      </c>
      <c r="G4" s="31"/>
      <c r="H4" s="52" t="str">
        <f>IF(OR(B4="",G4=""),"",MAX(0,B4-(G4-Config!$B$17)))</f>
        <v/>
      </c>
      <c r="I4" s="55" t="str">
        <f>IF(OR(B4="",G4=""),"",MAX(0,(B4-(G4-Config!$B$17))/B4))</f>
        <v/>
      </c>
      <c r="J4" s="35"/>
      <c r="L4" s="58" t="s">
        <v>15</v>
      </c>
      <c r="M4" s="61" t="str">
        <f>IFERROR(SQRT(SUMPRODUCT(($I$2:$I$500&lt;&gt;"")*($I$2:$I$500*$I$2:$I$500))/COUNTIF($I$2:$I$500,"&lt;&gt;")),"")</f>
        <v/>
      </c>
      <c r="N4" s="60" t="str">
        <f>IF(M4="","",IF(M4&gt;10%,"🔴 Perigoso",IF(M4&gt;5%,"🟡 Atenção","🟢 Bom")))</f>
        <v/>
      </c>
    </row>
    <row r="5" spans="1:14" x14ac:dyDescent="0.3">
      <c r="A5" s="51">
        <v>46086</v>
      </c>
      <c r="B5" s="31">
        <v>210.07</v>
      </c>
      <c r="C5" s="31">
        <v>1.35</v>
      </c>
      <c r="D5" s="32">
        <f>SUM($C$2:C5)</f>
        <v>8.76</v>
      </c>
      <c r="E5" s="33">
        <f>IF(Config!$B$9&lt;&gt;0,ABS(D5/Config!$B$9),0)</f>
        <v>0.36791264174716509</v>
      </c>
      <c r="F5" s="34" t="str">
        <f t="shared" si="0"/>
        <v>🟡 Amarelo</v>
      </c>
      <c r="G5" s="31"/>
      <c r="H5" s="52" t="str">
        <f>IF(OR(B5="",G5=""),"",MAX(0,B5-(G5-Config!$B$17)))</f>
        <v/>
      </c>
      <c r="I5" s="55" t="str">
        <f>IF(OR(B5="",G5=""),"",MAX(0,(B5-(G5-Config!$B$17))/B5))</f>
        <v/>
      </c>
      <c r="J5" s="35"/>
      <c r="L5" s="58" t="s">
        <v>16</v>
      </c>
      <c r="M5" s="59">
        <f>IFERROR((((SUM($C$2:$C$500)/MAX($B$2:$B$500))*(365/COUNTIF($A$2:$A$500,"&lt;&gt;")))/MAX($I$2:$I$500)),"")</f>
        <v>-118.05272246035454</v>
      </c>
      <c r="N5" s="60" t="str">
        <f>IF(M5="","",IF(M5&lt;0.5,"🔴 Fraco",IF(M5&lt;1.5,"🟡 Aceitável","🟢 Bom")))</f>
        <v>🔴 Fraco</v>
      </c>
    </row>
    <row r="6" spans="1:14" x14ac:dyDescent="0.3">
      <c r="A6" s="51">
        <v>46087</v>
      </c>
      <c r="B6" s="31">
        <v>211.42</v>
      </c>
      <c r="C6" s="31">
        <v>5.33</v>
      </c>
      <c r="D6" s="32">
        <f>SUM($C$2:C6)</f>
        <v>14.09</v>
      </c>
      <c r="E6" s="33">
        <f>IF(Config!$B$9&lt;&gt;0,ABS(D6/Config!$B$9),0)</f>
        <v>0.59176816463670734</v>
      </c>
      <c r="F6" s="34" t="str">
        <f t="shared" si="0"/>
        <v>🟡 Amarelo</v>
      </c>
      <c r="G6" s="31"/>
      <c r="H6" s="52" t="str">
        <f>IF(OR(B6="",G6=""),"",MAX(0,B6-(G6-Config!$B$17)))</f>
        <v/>
      </c>
      <c r="I6" s="55" t="str">
        <f>IF(OR(B6="",G6=""),"",MAX(0,(B6-(G6-Config!$B$17))/B6))</f>
        <v/>
      </c>
      <c r="J6" s="35"/>
    </row>
    <row r="7" spans="1:14" x14ac:dyDescent="0.3">
      <c r="A7" s="51">
        <v>46090</v>
      </c>
      <c r="B7" s="31">
        <v>216.75</v>
      </c>
      <c r="C7" s="31">
        <v>1.52</v>
      </c>
      <c r="D7" s="32">
        <f>SUM($C$2:C7)</f>
        <v>15.61</v>
      </c>
      <c r="E7" s="33">
        <f>IF(Config!$B$9&lt;&gt;0,ABS(D7/Config!$B$9),0)</f>
        <v>0.65560688786224275</v>
      </c>
      <c r="F7" s="34" t="str">
        <f t="shared" si="0"/>
        <v>🟢 Verde</v>
      </c>
      <c r="G7" s="31"/>
      <c r="H7" s="52" t="str">
        <f>IF(OR(B7="",G7=""),"",MAX(0,B7-(G7-Config!$B$17)))</f>
        <v/>
      </c>
      <c r="I7" s="55" t="str">
        <f>IF(OR(B7="",G7=""),"",MAX(0,(B7-(G7-Config!$B$17))/B7))</f>
        <v/>
      </c>
      <c r="J7" s="35"/>
      <c r="L7" s="58" t="s">
        <v>17</v>
      </c>
      <c r="M7" s="60" t="str">
        <f>IF(OR(M3&lt;1,M4&gt;10%,M5&lt;0.5),"🔴 Risco Elevado",IF(OR(M3&lt;2,M4&gt;5%,M5&lt;1.5),"🟡 Risco Moderado","🟢 Risco Controlado"))</f>
        <v>🔴 Risco Elevado</v>
      </c>
      <c r="N7" s="60" t="s">
        <v>18</v>
      </c>
    </row>
    <row r="8" spans="1:14" x14ac:dyDescent="0.3">
      <c r="A8" s="51">
        <v>46091</v>
      </c>
      <c r="B8" s="31">
        <v>218.27</v>
      </c>
      <c r="C8" s="31">
        <v>-23.81</v>
      </c>
      <c r="D8" s="32">
        <f>SUM($C$2:C8)</f>
        <v>-8.1999999999999993</v>
      </c>
      <c r="E8" s="33">
        <f>IF(Config!$B$9&lt;&gt;0,ABS(D8/Config!$B$9),0)</f>
        <v>0.34439311213775725</v>
      </c>
      <c r="F8" s="34" t="str">
        <f t="shared" si="0"/>
        <v>🟡 Amarelo</v>
      </c>
      <c r="G8" s="31"/>
      <c r="H8" s="52" t="str">
        <f>IF(OR(B8="",G8=""),"",MAX(0,B8-(G8-Config!$B$17)))</f>
        <v/>
      </c>
      <c r="I8" s="55" t="str">
        <f>IF(OR(B8="",G8=""),"",MAX(0,(B8-(G8-Config!$B$17))/B8))</f>
        <v/>
      </c>
      <c r="J8" s="35" t="s">
        <v>545</v>
      </c>
    </row>
    <row r="9" spans="1:14" x14ac:dyDescent="0.3">
      <c r="A9" s="51">
        <v>46092</v>
      </c>
      <c r="B9" s="31">
        <v>194.46</v>
      </c>
      <c r="C9" s="31">
        <v>1.05</v>
      </c>
      <c r="D9" s="32">
        <f>SUM($C$2:C9)</f>
        <v>-7.1499999999999995</v>
      </c>
      <c r="E9" s="33">
        <f>IF(Config!$B$9&lt;&gt;0,ABS(D9/Config!$B$9),0)</f>
        <v>0.30029399412011759</v>
      </c>
      <c r="F9" s="34" t="str">
        <f t="shared" si="0"/>
        <v>🟡 Amarelo</v>
      </c>
      <c r="G9" s="31"/>
      <c r="H9" s="52" t="str">
        <f>IF(OR(B9="",G9=""),"",MAX(0,B9-(G9-Config!$B$17)))</f>
        <v/>
      </c>
      <c r="I9" s="55" t="str">
        <f>IF(OR(B9="",G9=""),"",MAX(0,(B9-(G9-Config!$B$17))/B9))</f>
        <v/>
      </c>
      <c r="J9" s="35"/>
      <c r="L9" s="62" t="s">
        <v>331</v>
      </c>
    </row>
    <row r="10" spans="1:14" x14ac:dyDescent="0.3">
      <c r="A10" s="51">
        <v>46093</v>
      </c>
      <c r="B10" s="31">
        <v>195.51</v>
      </c>
      <c r="C10" s="31">
        <v>1.03</v>
      </c>
      <c r="D10" s="32">
        <f>SUM($C$2:C10)</f>
        <v>-6.1199999999999992</v>
      </c>
      <c r="E10" s="33">
        <f>IF(Config!$B$9&lt;&gt;0,ABS(D10/Config!$B$9),0)</f>
        <v>0.25703485930281395</v>
      </c>
      <c r="F10" s="34" t="str">
        <f t="shared" si="0"/>
        <v>🔴 Vermelho</v>
      </c>
      <c r="G10" s="31">
        <v>235.42</v>
      </c>
      <c r="H10" s="52">
        <f>IF(OR(B10="",G10=""),"",MAX(0,B10-(G10-Config!$B$17)))</f>
        <v>9.0000000000003411E-2</v>
      </c>
      <c r="I10" s="55">
        <f>IF(OR(B10="",G10=""),"",MAX(0,(B10-(G10-Config!$B$17))/B10))</f>
        <v>4.6033450974376457E-4</v>
      </c>
      <c r="J10" s="35"/>
      <c r="L10" t="s">
        <v>332</v>
      </c>
    </row>
    <row r="11" spans="1:14" x14ac:dyDescent="0.3">
      <c r="A11" s="51">
        <v>46094</v>
      </c>
      <c r="B11" s="31">
        <v>196.54</v>
      </c>
      <c r="C11" s="31">
        <v>0.61</v>
      </c>
      <c r="D11" s="32">
        <f>SUM($C$2:C11)</f>
        <v>-5.5099999999999989</v>
      </c>
      <c r="E11" s="33">
        <f>IF(Config!$B$9&lt;&gt;0,ABS(D11/Config!$B$9),0)</f>
        <v>0.23141537169256612</v>
      </c>
      <c r="F11" s="34" t="str">
        <f t="shared" si="0"/>
        <v>🔴 Vermelho</v>
      </c>
      <c r="G11" s="31">
        <v>235.36</v>
      </c>
      <c r="H11" s="52">
        <f>IF(OR(B11="",G11=""),"",MAX(0,B11-(G11-Config!$B$17)))</f>
        <v>1.1799999999999784</v>
      </c>
      <c r="I11" s="55">
        <f>IF(OR(B11="",G11=""),"",MAX(0,(B11-(G11-Config!$B$17))/B11))</f>
        <v>6.0038668973235905E-3</v>
      </c>
      <c r="J11" s="35"/>
      <c r="L11" t="s">
        <v>333</v>
      </c>
    </row>
    <row r="12" spans="1:14" x14ac:dyDescent="0.3">
      <c r="A12" s="30"/>
      <c r="B12" s="31"/>
      <c r="C12" s="31"/>
      <c r="D12" s="32">
        <f>SUM($C$2:C12)</f>
        <v>-5.5099999999999989</v>
      </c>
      <c r="E12" s="33">
        <f>IF(Config!$B$9&lt;&gt;0,ABS(D12/Config!$B$9),0)</f>
        <v>0.23141537169256612</v>
      </c>
      <c r="F12" s="34" t="str">
        <f t="shared" si="0"/>
        <v>🔴 Vermelho</v>
      </c>
      <c r="G12" s="31"/>
      <c r="H12" s="52" t="str">
        <f>IF(OR(B12="",G12=""),"",MAX(0,B12-(G12-Config!$B$17)))</f>
        <v/>
      </c>
      <c r="I12" s="55" t="str">
        <f>IF(OR(B12="",G12=""),"",MAX(0,(B12-(G12-Config!$B$17))/B12))</f>
        <v/>
      </c>
      <c r="J12" s="35"/>
      <c r="L12" t="s">
        <v>334</v>
      </c>
    </row>
    <row r="13" spans="1:14" x14ac:dyDescent="0.3">
      <c r="A13" s="30"/>
      <c r="B13" s="31"/>
      <c r="C13" s="31"/>
      <c r="D13" s="32">
        <f>SUM($C$2:C13)</f>
        <v>-5.5099999999999989</v>
      </c>
      <c r="E13" s="33">
        <f>IF(Config!$B$9&lt;&gt;0,ABS(D13/Config!$B$9),0)</f>
        <v>0.23141537169256612</v>
      </c>
      <c r="F13" s="34" t="str">
        <f t="shared" si="0"/>
        <v>🔴 Vermelho</v>
      </c>
      <c r="G13" s="31"/>
      <c r="H13" s="52" t="str">
        <f>IF(OR(B13="",G13=""),"",MAX(0,B13-(G13-Config!$B$17)))</f>
        <v/>
      </c>
      <c r="I13" s="55" t="str">
        <f>IF(OR(B13="",G13=""),"",MAX(0,(B13-(G13-Config!$B$17))/B13))</f>
        <v/>
      </c>
      <c r="J13" s="35"/>
      <c r="L13" t="s">
        <v>335</v>
      </c>
    </row>
    <row r="14" spans="1:14" x14ac:dyDescent="0.3">
      <c r="A14" s="30"/>
      <c r="B14" s="31"/>
      <c r="C14" s="31"/>
      <c r="D14" s="32">
        <f>SUM($C$2:C14)</f>
        <v>-5.5099999999999989</v>
      </c>
      <c r="E14" s="33">
        <f>IF(Config!$B$9&lt;&gt;0,ABS(D14/Config!$B$9),0)</f>
        <v>0.23141537169256612</v>
      </c>
      <c r="F14" s="34" t="str">
        <f t="shared" si="0"/>
        <v>🔴 Vermelho</v>
      </c>
      <c r="G14" s="31"/>
      <c r="H14" s="52" t="str">
        <f>IF(OR(B14="",G14=""),"",MAX(0,B14-(G14-Config!$B$17)))</f>
        <v/>
      </c>
      <c r="I14" s="55" t="str">
        <f>IF(OR(B14="",G14=""),"",MAX(0,(B14-(G14-Config!$B$17))/B14))</f>
        <v/>
      </c>
      <c r="J14" s="35"/>
    </row>
    <row r="15" spans="1:14" x14ac:dyDescent="0.3">
      <c r="A15" s="30"/>
      <c r="B15" s="31"/>
      <c r="C15" s="31"/>
      <c r="D15" s="32">
        <f>SUM($C$2:C15)</f>
        <v>-5.5099999999999989</v>
      </c>
      <c r="E15" s="33">
        <f>IF(Config!$B$9&lt;&gt;0,ABS(D15/Config!$B$9),0)</f>
        <v>0.23141537169256612</v>
      </c>
      <c r="F15" s="34" t="str">
        <f t="shared" si="0"/>
        <v>🔴 Vermelho</v>
      </c>
      <c r="G15" s="31"/>
      <c r="H15" s="52" t="str">
        <f>IF(OR(B15="",G15=""),"",MAX(0,B15-(G15-Config!$B$17)))</f>
        <v/>
      </c>
      <c r="I15" s="55" t="str">
        <f>IF(OR(B15="",G15=""),"",MAX(0,(B15-(G15-Config!$B$17))/B15))</f>
        <v/>
      </c>
      <c r="J15" s="35"/>
    </row>
    <row r="16" spans="1:14" x14ac:dyDescent="0.3">
      <c r="A16" s="30"/>
      <c r="B16" s="31"/>
      <c r="C16" s="31"/>
      <c r="D16" s="32">
        <f>SUM($C$2:C16)</f>
        <v>-5.5099999999999989</v>
      </c>
      <c r="E16" s="33">
        <f>IF(Config!$B$9&lt;&gt;0,ABS(D16/Config!$B$9),0)</f>
        <v>0.23141537169256612</v>
      </c>
      <c r="F16" s="34" t="str">
        <f t="shared" si="0"/>
        <v>🔴 Vermelho</v>
      </c>
      <c r="G16" s="31"/>
      <c r="H16" s="52" t="str">
        <f>IF(OR(B16="",G16=""),"",MAX(0,B16-(G16-Config!$B$17)))</f>
        <v/>
      </c>
      <c r="I16" s="55" t="str">
        <f>IF(OR(B16="",G16=""),"",MAX(0,(B16-(G16-Config!$B$17))/B16))</f>
        <v/>
      </c>
      <c r="J16" s="35"/>
    </row>
    <row r="17" spans="1:10" x14ac:dyDescent="0.3">
      <c r="A17" s="30"/>
      <c r="B17" s="31"/>
      <c r="C17" s="31"/>
      <c r="D17" s="32">
        <f>SUM($C$2:C17)</f>
        <v>-5.5099999999999989</v>
      </c>
      <c r="E17" s="33">
        <f>IF(Config!$B$9&lt;&gt;0,ABS(D17/Config!$B$9),0)</f>
        <v>0.23141537169256612</v>
      </c>
      <c r="F17" s="34" t="str">
        <f t="shared" si="0"/>
        <v>🔴 Vermelho</v>
      </c>
      <c r="G17" s="31"/>
      <c r="H17" s="52" t="str">
        <f>IF(OR(B17="",G17=""),"",MAX(0,B17-(G17-Config!$B$17)))</f>
        <v/>
      </c>
      <c r="I17" s="55" t="str">
        <f>IF(OR(B17="",G17=""),"",MAX(0,(B17-(G17-Config!$B$17))/B17))</f>
        <v/>
      </c>
      <c r="J17" s="35"/>
    </row>
    <row r="18" spans="1:10" x14ac:dyDescent="0.3">
      <c r="A18" s="30"/>
      <c r="B18" s="31"/>
      <c r="C18" s="31"/>
      <c r="D18" s="32">
        <f>SUM($C$2:C18)</f>
        <v>-5.5099999999999989</v>
      </c>
      <c r="E18" s="33">
        <f>IF(Config!$B$9&lt;&gt;0,ABS(D18/Config!$B$9),0)</f>
        <v>0.23141537169256612</v>
      </c>
      <c r="F18" s="34" t="str">
        <f t="shared" si="0"/>
        <v>🔴 Vermelho</v>
      </c>
      <c r="G18" s="31"/>
      <c r="H18" s="52" t="str">
        <f>IF(OR(B18="",G18=""),"",MAX(0,B18-(G18-Config!$B$17)))</f>
        <v/>
      </c>
      <c r="I18" s="55" t="str">
        <f>IF(OR(B18="",G18=""),"",MAX(0,(B18-(G18-Config!$B$17))/B18))</f>
        <v/>
      </c>
      <c r="J18" s="35"/>
    </row>
    <row r="19" spans="1:10" x14ac:dyDescent="0.3">
      <c r="A19" s="30"/>
      <c r="B19" s="31"/>
      <c r="C19" s="31"/>
      <c r="D19" s="32">
        <f>SUM($C$2:C19)</f>
        <v>-5.5099999999999989</v>
      </c>
      <c r="E19" s="33">
        <f>IF(Config!$B$9&lt;&gt;0,ABS(D19/Config!$B$9),0)</f>
        <v>0.23141537169256612</v>
      </c>
      <c r="F19" s="34" t="str">
        <f t="shared" si="0"/>
        <v>🔴 Vermelho</v>
      </c>
      <c r="G19" s="31"/>
      <c r="H19" s="52" t="str">
        <f>IF(OR(B19="",G19=""),"",MAX(0,B19-(G19-Config!$B$17)))</f>
        <v/>
      </c>
      <c r="I19" s="55" t="str">
        <f>IF(OR(B19="",G19=""),"",MAX(0,(B19-(G19-Config!$B$17))/B19))</f>
        <v/>
      </c>
      <c r="J19" s="35"/>
    </row>
    <row r="20" spans="1:10" x14ac:dyDescent="0.3">
      <c r="A20" s="30"/>
      <c r="B20" s="31"/>
      <c r="C20" s="31"/>
      <c r="D20" s="32">
        <f>SUM($C$2:C20)</f>
        <v>-5.5099999999999989</v>
      </c>
      <c r="E20" s="33">
        <f>IF(Config!$B$9&lt;&gt;0,ABS(D20/Config!$B$9),0)</f>
        <v>0.23141537169256612</v>
      </c>
      <c r="F20" s="34" t="str">
        <f t="shared" si="0"/>
        <v>🔴 Vermelho</v>
      </c>
      <c r="G20" s="31"/>
      <c r="H20" s="52" t="str">
        <f>IF(OR(B20="",G20=""),"",MAX(0,B20-(G20-Config!$B$17)))</f>
        <v/>
      </c>
      <c r="I20" s="55" t="str">
        <f>IF(OR(B20="",G20=""),"",MAX(0,(B20-(G20-Config!$B$17))/B20))</f>
        <v/>
      </c>
      <c r="J20" s="35"/>
    </row>
    <row r="21" spans="1:10" x14ac:dyDescent="0.3">
      <c r="A21" s="30"/>
      <c r="B21" s="31"/>
      <c r="C21" s="31"/>
      <c r="D21" s="32">
        <f>SUM($C$2:C21)</f>
        <v>-5.5099999999999989</v>
      </c>
      <c r="E21" s="33">
        <f>IF(Config!$B$9&lt;&gt;0,ABS(D21/Config!$B$9),0)</f>
        <v>0.23141537169256612</v>
      </c>
      <c r="F21" s="34" t="str">
        <f t="shared" si="0"/>
        <v>🔴 Vermelho</v>
      </c>
      <c r="G21" s="31"/>
      <c r="H21" s="52" t="str">
        <f>IF(OR(B21="",G21=""),"",MAX(0,B21-(G21-Config!$B$17)))</f>
        <v/>
      </c>
      <c r="I21" s="55" t="str">
        <f>IF(OR(B21="",G21=""),"",MAX(0,(B21-(G21-Config!$B$17))/B21))</f>
        <v/>
      </c>
      <c r="J21" s="35"/>
    </row>
    <row r="22" spans="1:10" x14ac:dyDescent="0.3">
      <c r="A22" s="30"/>
      <c r="B22" s="31"/>
      <c r="C22" s="31"/>
      <c r="D22" s="32">
        <f>SUM($C$2:C22)</f>
        <v>-5.5099999999999989</v>
      </c>
      <c r="E22" s="33">
        <f>IF(Config!$B$9&lt;&gt;0,ABS(D22/Config!$B$9),0)</f>
        <v>0.23141537169256612</v>
      </c>
      <c r="F22" s="34" t="str">
        <f t="shared" si="0"/>
        <v>🔴 Vermelho</v>
      </c>
      <c r="G22" s="31"/>
      <c r="H22" s="52" t="str">
        <f>IF(OR(B22="",G22=""),"",MAX(0,B22-(G22-Config!$B$17)))</f>
        <v/>
      </c>
      <c r="I22" s="55" t="str">
        <f>IF(OR(B22="",G22=""),"",MAX(0,(B22-(G22-Config!$B$17))/B22))</f>
        <v/>
      </c>
      <c r="J22" s="35"/>
    </row>
    <row r="23" spans="1:10" x14ac:dyDescent="0.3">
      <c r="A23" s="30"/>
      <c r="B23" s="31"/>
      <c r="C23" s="31"/>
      <c r="D23" s="32">
        <f>SUM($C$2:C23)</f>
        <v>-5.5099999999999989</v>
      </c>
      <c r="E23" s="33">
        <f>IF(Config!$B$9&lt;&gt;0,ABS(D23/Config!$B$9),0)</f>
        <v>0.23141537169256612</v>
      </c>
      <c r="F23" s="34" t="str">
        <f t="shared" si="0"/>
        <v>🔴 Vermelho</v>
      </c>
      <c r="G23" s="31"/>
      <c r="H23" s="52" t="str">
        <f>IF(OR(B23="",G23=""),"",MAX(0,B23-(G23-Config!$B$17)))</f>
        <v/>
      </c>
      <c r="I23" s="55" t="str">
        <f>IF(OR(B23="",G23=""),"",MAX(0,(B23-(G23-Config!$B$17))/B23))</f>
        <v/>
      </c>
      <c r="J23" s="35"/>
    </row>
    <row r="24" spans="1:10" x14ac:dyDescent="0.3">
      <c r="A24" s="30"/>
      <c r="B24" s="31"/>
      <c r="C24" s="31"/>
      <c r="D24" s="32">
        <f>SUM($C$2:C24)</f>
        <v>-5.5099999999999989</v>
      </c>
      <c r="E24" s="33">
        <f>IF(Config!$B$9&lt;&gt;0,ABS(D24/Config!$B$9),0)</f>
        <v>0.23141537169256612</v>
      </c>
      <c r="F24" s="34" t="str">
        <f t="shared" si="0"/>
        <v>🔴 Vermelho</v>
      </c>
      <c r="G24" s="31"/>
      <c r="H24" s="52" t="str">
        <f>IF(OR(B24="",G24=""),"",MAX(0,B24-(G24-Config!$B$17)))</f>
        <v/>
      </c>
      <c r="I24" s="55" t="str">
        <f>IF(OR(B24="",G24=""),"",MAX(0,(B24-(G24-Config!$B$17))/B24))</f>
        <v/>
      </c>
      <c r="J24" s="35"/>
    </row>
    <row r="25" spans="1:10" x14ac:dyDescent="0.3">
      <c r="A25" s="30"/>
      <c r="B25" s="31"/>
      <c r="C25" s="31"/>
      <c r="D25" s="32">
        <f>SUM($C$2:C25)</f>
        <v>-5.5099999999999989</v>
      </c>
      <c r="E25" s="33">
        <f>IF(Config!$B$9&lt;&gt;0,ABS(D25/Config!$B$9),0)</f>
        <v>0.23141537169256612</v>
      </c>
      <c r="F25" s="34" t="str">
        <f t="shared" si="0"/>
        <v>🔴 Vermelho</v>
      </c>
      <c r="G25" s="31"/>
      <c r="H25" s="52" t="str">
        <f>IF(OR(B25="",G25=""),"",MAX(0,B25-(G25-Config!$B$17)))</f>
        <v/>
      </c>
      <c r="I25" s="55" t="str">
        <f>IF(OR(B25="",G25=""),"",MAX(0,(B25-(G25-Config!$B$17))/B25))</f>
        <v/>
      </c>
      <c r="J25" s="35"/>
    </row>
    <row r="26" spans="1:10" x14ac:dyDescent="0.3">
      <c r="A26" s="30"/>
      <c r="B26" s="31"/>
      <c r="C26" s="31"/>
      <c r="D26" s="32">
        <f>SUM($C$2:C26)</f>
        <v>-5.5099999999999989</v>
      </c>
      <c r="E26" s="33">
        <f>IF(Config!$B$9&lt;&gt;0,ABS(D26/Config!$B$9),0)</f>
        <v>0.23141537169256612</v>
      </c>
      <c r="F26" s="34" t="str">
        <f t="shared" si="0"/>
        <v>🔴 Vermelho</v>
      </c>
      <c r="G26" s="31"/>
      <c r="H26" s="52" t="str">
        <f>IF(OR(B26="",G26=""),"",MAX(0,B26-(G26-Config!$B$17)))</f>
        <v/>
      </c>
      <c r="I26" s="55" t="str">
        <f>IF(OR(B26="",G26=""),"",MAX(0,(B26-(G26-Config!$B$17))/B26))</f>
        <v/>
      </c>
      <c r="J26" s="35"/>
    </row>
    <row r="27" spans="1:10" x14ac:dyDescent="0.3">
      <c r="A27" s="30"/>
      <c r="B27" s="31"/>
      <c r="C27" s="31"/>
      <c r="D27" s="32">
        <f>SUM($C$2:C27)</f>
        <v>-5.5099999999999989</v>
      </c>
      <c r="E27" s="33">
        <f>IF(Config!$B$9&lt;&gt;0,ABS(D27/Config!$B$9),0)</f>
        <v>0.23141537169256612</v>
      </c>
      <c r="F27" s="34" t="str">
        <f t="shared" si="0"/>
        <v>🔴 Vermelho</v>
      </c>
      <c r="G27" s="31"/>
      <c r="H27" s="52" t="str">
        <f>IF(OR(B27="",G27=""),"",MAX(0,B27-(G27-Config!$B$17)))</f>
        <v/>
      </c>
      <c r="I27" s="55" t="str">
        <f>IF(OR(B27="",G27=""),"",MAX(0,(B27-(G27-Config!$B$17))/B27))</f>
        <v/>
      </c>
      <c r="J27" s="35"/>
    </row>
    <row r="28" spans="1:10" x14ac:dyDescent="0.3">
      <c r="A28" s="30"/>
      <c r="B28" s="31"/>
      <c r="C28" s="31"/>
      <c r="D28" s="32">
        <f>SUM($C$2:C28)</f>
        <v>-5.5099999999999989</v>
      </c>
      <c r="E28" s="33">
        <f>IF(Config!$B$9&lt;&gt;0,ABS(D28/Config!$B$9),0)</f>
        <v>0.23141537169256612</v>
      </c>
      <c r="F28" s="34" t="str">
        <f t="shared" si="0"/>
        <v>🔴 Vermelho</v>
      </c>
      <c r="G28" s="31"/>
      <c r="H28" s="52" t="str">
        <f>IF(OR(B28="",G28=""),"",MAX(0,B28-(G28-Config!$B$17)))</f>
        <v/>
      </c>
      <c r="I28" s="55" t="str">
        <f>IF(OR(B28="",G28=""),"",MAX(0,(B28-(G28-Config!$B$17))/B28))</f>
        <v/>
      </c>
      <c r="J28" s="35"/>
    </row>
    <row r="29" spans="1:10" x14ac:dyDescent="0.3">
      <c r="A29" s="30"/>
      <c r="B29" s="31"/>
      <c r="C29" s="31"/>
      <c r="D29" s="32">
        <f>SUM($C$2:C29)</f>
        <v>-5.5099999999999989</v>
      </c>
      <c r="E29" s="33">
        <f>IF(Config!$B$9&lt;&gt;0,ABS(D29/Config!$B$9),0)</f>
        <v>0.23141537169256612</v>
      </c>
      <c r="F29" s="34" t="str">
        <f t="shared" si="0"/>
        <v>🔴 Vermelho</v>
      </c>
      <c r="G29" s="31"/>
      <c r="H29" s="52" t="str">
        <f>IF(OR(B29="",G29=""),"",MAX(0,B29-(G29-Config!$B$17)))</f>
        <v/>
      </c>
      <c r="I29" s="55" t="str">
        <f>IF(OR(B29="",G29=""),"",MAX(0,(B29-(G29-Config!$B$17))/B29))</f>
        <v/>
      </c>
      <c r="J29" s="35"/>
    </row>
    <row r="30" spans="1:10" x14ac:dyDescent="0.3">
      <c r="A30" s="30"/>
      <c r="B30" s="31"/>
      <c r="C30" s="31"/>
      <c r="D30" s="32">
        <f>SUM($C$2:C30)</f>
        <v>-5.5099999999999989</v>
      </c>
      <c r="E30" s="33">
        <f>IF(Config!$B$9&lt;&gt;0,ABS(D30/Config!$B$9),0)</f>
        <v>0.23141537169256612</v>
      </c>
      <c r="F30" s="34" t="str">
        <f t="shared" si="0"/>
        <v>🔴 Vermelho</v>
      </c>
      <c r="G30" s="31"/>
      <c r="H30" s="52" t="str">
        <f>IF(OR(B30="",G30=""),"",MAX(0,B30-(G30-Config!$B$17)))</f>
        <v/>
      </c>
      <c r="I30" s="55" t="str">
        <f>IF(OR(B30="",G30=""),"",MAX(0,(B30-(G30-Config!$B$17))/B30))</f>
        <v/>
      </c>
      <c r="J30" s="35"/>
    </row>
    <row r="31" spans="1:10" x14ac:dyDescent="0.3">
      <c r="A31" s="30"/>
      <c r="B31" s="31"/>
      <c r="C31" s="31"/>
      <c r="D31" s="32">
        <f>SUM($C$2:C31)</f>
        <v>-5.5099999999999989</v>
      </c>
      <c r="E31" s="33">
        <f>IF(Config!$B$9&lt;&gt;0,ABS(D31/Config!$B$9),0)</f>
        <v>0.23141537169256612</v>
      </c>
      <c r="F31" s="34" t="str">
        <f t="shared" si="0"/>
        <v>🔴 Vermelho</v>
      </c>
      <c r="G31" s="31"/>
      <c r="H31" s="52" t="str">
        <f>IF(OR(B31="",G31=""),"",MAX(0,B31-(G31-Config!$B$17)))</f>
        <v/>
      </c>
      <c r="I31" s="55" t="str">
        <f>IF(OR(B31="",G31=""),"",MAX(0,(B31-(G31-Config!$B$17))/B31))</f>
        <v/>
      </c>
      <c r="J31" s="35"/>
    </row>
    <row r="32" spans="1:10" x14ac:dyDescent="0.3">
      <c r="A32" s="30"/>
      <c r="B32" s="31"/>
      <c r="C32" s="31"/>
      <c r="D32" s="32">
        <f>SUM($C$2:C32)</f>
        <v>-5.5099999999999989</v>
      </c>
      <c r="E32" s="33">
        <f>IF(Config!$B$9&lt;&gt;0,ABS(D32/Config!$B$9),0)</f>
        <v>0.23141537169256612</v>
      </c>
      <c r="F32" s="34" t="str">
        <f t="shared" si="0"/>
        <v>🔴 Vermelho</v>
      </c>
      <c r="G32" s="31"/>
      <c r="H32" s="52" t="str">
        <f>IF(OR(B32="",G32=""),"",MAX(0,B32-(G32-Config!$B$17)))</f>
        <v/>
      </c>
      <c r="I32" s="55" t="str">
        <f>IF(OR(B32="",G32=""),"",MAX(0,(B32-(G32-Config!$B$17))/B32))</f>
        <v/>
      </c>
      <c r="J32" s="35"/>
    </row>
    <row r="33" spans="1:10" x14ac:dyDescent="0.3">
      <c r="A33" s="30"/>
      <c r="B33" s="31"/>
      <c r="C33" s="31"/>
      <c r="D33" s="32">
        <f>SUM($C$2:C33)</f>
        <v>-5.5099999999999989</v>
      </c>
      <c r="E33" s="33">
        <f>IF(Config!$B$9&lt;&gt;0,ABS(D33/Config!$B$9),0)</f>
        <v>0.23141537169256612</v>
      </c>
      <c r="F33" s="34" t="str">
        <f t="shared" si="0"/>
        <v>🔴 Vermelho</v>
      </c>
      <c r="G33" s="31"/>
      <c r="H33" s="52" t="str">
        <f>IF(OR(B33="",G33=""),"",MAX(0,B33-(G33-Config!$B$17)))</f>
        <v/>
      </c>
      <c r="I33" s="55" t="str">
        <f>IF(OR(B33="",G33=""),"",MAX(0,(B33-(G33-Config!$B$17))/B33))</f>
        <v/>
      </c>
      <c r="J33" s="35"/>
    </row>
    <row r="34" spans="1:10" x14ac:dyDescent="0.3">
      <c r="A34" s="30"/>
      <c r="B34" s="31"/>
      <c r="C34" s="31"/>
      <c r="D34" s="32">
        <f>SUM($C$2:C34)</f>
        <v>-5.5099999999999989</v>
      </c>
      <c r="E34" s="33">
        <f>IF(Config!$B$9&lt;&gt;0,ABS(D34/Config!$B$9),0)</f>
        <v>0.23141537169256612</v>
      </c>
      <c r="F34" s="34" t="str">
        <f t="shared" ref="F34:F65" si="1">IF(E34&lt;0.3,"🔴 Vermelho",IF(E34&lt;0.6,"🟡 Amarelo","🟢 Verde"))</f>
        <v>🔴 Vermelho</v>
      </c>
      <c r="G34" s="31"/>
      <c r="H34" s="52" t="str">
        <f>IF(OR(B34="",G34=""),"",MAX(0,B34-(G34-Config!$B$17)))</f>
        <v/>
      </c>
      <c r="I34" s="55" t="str">
        <f>IF(OR(B34="",G34=""),"",MAX(0,(B34-(G34-Config!$B$17))/B34))</f>
        <v/>
      </c>
      <c r="J34" s="35"/>
    </row>
    <row r="35" spans="1:10" x14ac:dyDescent="0.3">
      <c r="A35" s="30"/>
      <c r="B35" s="31"/>
      <c r="C35" s="31"/>
      <c r="D35" s="32">
        <f>SUM($C$2:C35)</f>
        <v>-5.5099999999999989</v>
      </c>
      <c r="E35" s="33">
        <f>IF(Config!$B$9&lt;&gt;0,ABS(D35/Config!$B$9),0)</f>
        <v>0.23141537169256612</v>
      </c>
      <c r="F35" s="34" t="str">
        <f t="shared" si="1"/>
        <v>🔴 Vermelho</v>
      </c>
      <c r="G35" s="31"/>
      <c r="H35" s="52" t="str">
        <f>IF(OR(B35="",G35=""),"",MAX(0,B35-(G35-Config!$B$17)))</f>
        <v/>
      </c>
      <c r="I35" s="55" t="str">
        <f>IF(OR(B35="",G35=""),"",MAX(0,(B35-(G35-Config!$B$17))/B35))</f>
        <v/>
      </c>
      <c r="J35" s="35"/>
    </row>
    <row r="36" spans="1:10" x14ac:dyDescent="0.3">
      <c r="A36" s="30"/>
      <c r="B36" s="31"/>
      <c r="C36" s="31"/>
      <c r="D36" s="32">
        <f>SUM($C$2:C36)</f>
        <v>-5.5099999999999989</v>
      </c>
      <c r="E36" s="33">
        <f>IF(Config!$B$9&lt;&gt;0,ABS(D36/Config!$B$9),0)</f>
        <v>0.23141537169256612</v>
      </c>
      <c r="F36" s="34" t="str">
        <f t="shared" si="1"/>
        <v>🔴 Vermelho</v>
      </c>
      <c r="G36" s="31"/>
      <c r="H36" s="52" t="str">
        <f>IF(OR(B36="",G36=""),"",MAX(0,B36-(G36-Config!$B$17)))</f>
        <v/>
      </c>
      <c r="I36" s="55" t="str">
        <f>IF(OR(B36="",G36=""),"",MAX(0,(B36-(G36-Config!$B$17))/B36))</f>
        <v/>
      </c>
      <c r="J36" s="35"/>
    </row>
    <row r="37" spans="1:10" x14ac:dyDescent="0.3">
      <c r="A37" s="30"/>
      <c r="B37" s="31"/>
      <c r="C37" s="31"/>
      <c r="D37" s="32">
        <f>SUM($C$2:C37)</f>
        <v>-5.5099999999999989</v>
      </c>
      <c r="E37" s="33">
        <f>IF(Config!$B$9&lt;&gt;0,ABS(D37/Config!$B$9),0)</f>
        <v>0.23141537169256612</v>
      </c>
      <c r="F37" s="34" t="str">
        <f t="shared" si="1"/>
        <v>🔴 Vermelho</v>
      </c>
      <c r="G37" s="31"/>
      <c r="H37" s="52" t="str">
        <f>IF(OR(B37="",G37=""),"",MAX(0,B37-(G37-Config!$B$17)))</f>
        <v/>
      </c>
      <c r="I37" s="55" t="str">
        <f>IF(OR(B37="",G37=""),"",MAX(0,(B37-(G37-Config!$B$17))/B37))</f>
        <v/>
      </c>
      <c r="J37" s="35"/>
    </row>
    <row r="38" spans="1:10" x14ac:dyDescent="0.3">
      <c r="A38" s="30"/>
      <c r="B38" s="31"/>
      <c r="C38" s="31"/>
      <c r="D38" s="32">
        <f>SUM($C$2:C38)</f>
        <v>-5.5099999999999989</v>
      </c>
      <c r="E38" s="33">
        <f>IF(Config!$B$9&lt;&gt;0,ABS(D38/Config!$B$9),0)</f>
        <v>0.23141537169256612</v>
      </c>
      <c r="F38" s="34" t="str">
        <f t="shared" si="1"/>
        <v>🔴 Vermelho</v>
      </c>
      <c r="G38" s="31"/>
      <c r="H38" s="52" t="str">
        <f>IF(OR(B38="",G38=""),"",MAX(0,B38-(G38-Config!$B$17)))</f>
        <v/>
      </c>
      <c r="I38" s="55" t="str">
        <f>IF(OR(B38="",G38=""),"",MAX(0,(B38-(G38-Config!$B$17))/B38))</f>
        <v/>
      </c>
      <c r="J38" s="35"/>
    </row>
    <row r="39" spans="1:10" x14ac:dyDescent="0.3">
      <c r="A39" s="30"/>
      <c r="B39" s="31"/>
      <c r="C39" s="31"/>
      <c r="D39" s="32">
        <f>SUM($C$2:C39)</f>
        <v>-5.5099999999999989</v>
      </c>
      <c r="E39" s="33">
        <f>IF(Config!$B$9&lt;&gt;0,ABS(D39/Config!$B$9),0)</f>
        <v>0.23141537169256612</v>
      </c>
      <c r="F39" s="34" t="str">
        <f t="shared" si="1"/>
        <v>🔴 Vermelho</v>
      </c>
      <c r="G39" s="31"/>
      <c r="H39" s="52" t="str">
        <f>IF(OR(B39="",G39=""),"",MAX(0,B39-(G39-Config!$B$17)))</f>
        <v/>
      </c>
      <c r="I39" s="55" t="str">
        <f>IF(OR(B39="",G39=""),"",MAX(0,(B39-(G39-Config!$B$17))/B39))</f>
        <v/>
      </c>
      <c r="J39" s="35"/>
    </row>
    <row r="40" spans="1:10" x14ac:dyDescent="0.3">
      <c r="A40" s="30"/>
      <c r="B40" s="31"/>
      <c r="C40" s="31"/>
      <c r="D40" s="32">
        <f>SUM($C$2:C40)</f>
        <v>-5.5099999999999989</v>
      </c>
      <c r="E40" s="33">
        <f>IF(Config!$B$9&lt;&gt;0,ABS(D40/Config!$B$9),0)</f>
        <v>0.23141537169256612</v>
      </c>
      <c r="F40" s="34" t="str">
        <f t="shared" si="1"/>
        <v>🔴 Vermelho</v>
      </c>
      <c r="G40" s="31"/>
      <c r="H40" s="52" t="str">
        <f>IF(OR(B40="",G40=""),"",MAX(0,B40-(G40-Config!$B$17)))</f>
        <v/>
      </c>
      <c r="I40" s="55" t="str">
        <f>IF(OR(B40="",G40=""),"",MAX(0,(B40-(G40-Config!$B$17))/B40))</f>
        <v/>
      </c>
      <c r="J40" s="35"/>
    </row>
    <row r="41" spans="1:10" x14ac:dyDescent="0.3">
      <c r="A41" s="30"/>
      <c r="B41" s="31"/>
      <c r="C41" s="31"/>
      <c r="D41" s="32">
        <f>SUM($C$2:C41)</f>
        <v>-5.5099999999999989</v>
      </c>
      <c r="E41" s="33">
        <f>IF(Config!$B$9&lt;&gt;0,ABS(D41/Config!$B$9),0)</f>
        <v>0.23141537169256612</v>
      </c>
      <c r="F41" s="34" t="str">
        <f t="shared" si="1"/>
        <v>🔴 Vermelho</v>
      </c>
      <c r="G41" s="31"/>
      <c r="H41" s="52" t="str">
        <f>IF(OR(B41="",G41=""),"",MAX(0,B41-(G41-Config!$B$17)))</f>
        <v/>
      </c>
      <c r="I41" s="55" t="str">
        <f>IF(OR(B41="",G41=""),"",MAX(0,(B41-(G41-Config!$B$17))/B41))</f>
        <v/>
      </c>
      <c r="J41" s="35"/>
    </row>
    <row r="42" spans="1:10" x14ac:dyDescent="0.3">
      <c r="A42" s="30"/>
      <c r="B42" s="31"/>
      <c r="C42" s="31"/>
      <c r="D42" s="32">
        <f>SUM($C$2:C42)</f>
        <v>-5.5099999999999989</v>
      </c>
      <c r="E42" s="33">
        <f>IF(Config!$B$9&lt;&gt;0,ABS(D42/Config!$B$9),0)</f>
        <v>0.23141537169256612</v>
      </c>
      <c r="F42" s="34" t="str">
        <f t="shared" si="1"/>
        <v>🔴 Vermelho</v>
      </c>
      <c r="G42" s="31"/>
      <c r="H42" s="52" t="str">
        <f>IF(OR(B42="",G42=""),"",MAX(0,B42-(G42-Config!$B$17)))</f>
        <v/>
      </c>
      <c r="I42" s="55" t="str">
        <f>IF(OR(B42="",G42=""),"",MAX(0,(B42-(G42-Config!$B$17))/B42))</f>
        <v/>
      </c>
      <c r="J42" s="35"/>
    </row>
    <row r="43" spans="1:10" x14ac:dyDescent="0.3">
      <c r="A43" s="30"/>
      <c r="B43" s="31"/>
      <c r="C43" s="31"/>
      <c r="D43" s="32">
        <f>SUM($C$2:C43)</f>
        <v>-5.5099999999999989</v>
      </c>
      <c r="E43" s="33">
        <f>IF(Config!$B$9&lt;&gt;0,ABS(D43/Config!$B$9),0)</f>
        <v>0.23141537169256612</v>
      </c>
      <c r="F43" s="34" t="str">
        <f t="shared" si="1"/>
        <v>🔴 Vermelho</v>
      </c>
      <c r="G43" s="31"/>
      <c r="H43" s="52" t="str">
        <f>IF(OR(B43="",G43=""),"",MAX(0,B43-(G43-Config!$B$17)))</f>
        <v/>
      </c>
      <c r="I43" s="55" t="str">
        <f>IF(OR(B43="",G43=""),"",MAX(0,(B43-(G43-Config!$B$17))/B43))</f>
        <v/>
      </c>
      <c r="J43" s="35"/>
    </row>
    <row r="44" spans="1:10" x14ac:dyDescent="0.3">
      <c r="A44" s="30"/>
      <c r="B44" s="31"/>
      <c r="C44" s="31"/>
      <c r="D44" s="32">
        <f>SUM($C$2:C44)</f>
        <v>-5.5099999999999989</v>
      </c>
      <c r="E44" s="33">
        <f>IF(Config!$B$9&lt;&gt;0,ABS(D44/Config!$B$9),0)</f>
        <v>0.23141537169256612</v>
      </c>
      <c r="F44" s="34" t="str">
        <f t="shared" si="1"/>
        <v>🔴 Vermelho</v>
      </c>
      <c r="G44" s="31"/>
      <c r="H44" s="52" t="str">
        <f>IF(OR(B44="",G44=""),"",MAX(0,B44-(G44-Config!$B$17)))</f>
        <v/>
      </c>
      <c r="I44" s="55" t="str">
        <f>IF(OR(B44="",G44=""),"",MAX(0,(B44-(G44-Config!$B$17))/B44))</f>
        <v/>
      </c>
      <c r="J44" s="35"/>
    </row>
    <row r="45" spans="1:10" x14ac:dyDescent="0.3">
      <c r="A45" s="30"/>
      <c r="B45" s="31"/>
      <c r="C45" s="31"/>
      <c r="D45" s="32">
        <f>SUM($C$2:C45)</f>
        <v>-5.5099999999999989</v>
      </c>
      <c r="E45" s="33">
        <f>IF(Config!$B$9&lt;&gt;0,ABS(D45/Config!$B$9),0)</f>
        <v>0.23141537169256612</v>
      </c>
      <c r="F45" s="34" t="str">
        <f t="shared" si="1"/>
        <v>🔴 Vermelho</v>
      </c>
      <c r="G45" s="31"/>
      <c r="H45" s="52" t="str">
        <f>IF(OR(B45="",G45=""),"",MAX(0,B45-(G45-Config!$B$17)))</f>
        <v/>
      </c>
      <c r="I45" s="55" t="str">
        <f>IF(OR(B45="",G45=""),"",MAX(0,(B45-(G45-Config!$B$17))/B45))</f>
        <v/>
      </c>
      <c r="J45" s="35"/>
    </row>
    <row r="46" spans="1:10" x14ac:dyDescent="0.3">
      <c r="A46" s="30"/>
      <c r="B46" s="31"/>
      <c r="C46" s="31"/>
      <c r="D46" s="32">
        <f>SUM($C$2:C46)</f>
        <v>-5.5099999999999989</v>
      </c>
      <c r="E46" s="33">
        <f>IF(Config!$B$9&lt;&gt;0,ABS(D46/Config!$B$9),0)</f>
        <v>0.23141537169256612</v>
      </c>
      <c r="F46" s="34" t="str">
        <f t="shared" si="1"/>
        <v>🔴 Vermelho</v>
      </c>
      <c r="G46" s="31"/>
      <c r="H46" s="52" t="str">
        <f>IF(OR(B46="",G46=""),"",MAX(0,B46-(G46-Config!$B$17)))</f>
        <v/>
      </c>
      <c r="I46" s="55" t="str">
        <f>IF(OR(B46="",G46=""),"",MAX(0,(B46-(G46-Config!$B$17))/B46))</f>
        <v/>
      </c>
      <c r="J46" s="35"/>
    </row>
    <row r="47" spans="1:10" x14ac:dyDescent="0.3">
      <c r="A47" s="30"/>
      <c r="B47" s="31"/>
      <c r="C47" s="31"/>
      <c r="D47" s="32">
        <f>SUM($C$2:C47)</f>
        <v>-5.5099999999999989</v>
      </c>
      <c r="E47" s="33">
        <f>IF(Config!$B$9&lt;&gt;0,ABS(D47/Config!$B$9),0)</f>
        <v>0.23141537169256612</v>
      </c>
      <c r="F47" s="34" t="str">
        <f t="shared" si="1"/>
        <v>🔴 Vermelho</v>
      </c>
      <c r="G47" s="31"/>
      <c r="H47" s="52" t="str">
        <f>IF(OR(B47="",G47=""),"",MAX(0,B47-(G47-Config!$B$17)))</f>
        <v/>
      </c>
      <c r="I47" s="55" t="str">
        <f>IF(OR(B47="",G47=""),"",MAX(0,(B47-(G47-Config!$B$17))/B47))</f>
        <v/>
      </c>
      <c r="J47" s="35"/>
    </row>
    <row r="48" spans="1:10" x14ac:dyDescent="0.3">
      <c r="A48" s="30"/>
      <c r="B48" s="31"/>
      <c r="C48" s="31"/>
      <c r="D48" s="32">
        <f>SUM($C$2:C48)</f>
        <v>-5.5099999999999989</v>
      </c>
      <c r="E48" s="33">
        <f>IF(Config!$B$9&lt;&gt;0,ABS(D48/Config!$B$9),0)</f>
        <v>0.23141537169256612</v>
      </c>
      <c r="F48" s="34" t="str">
        <f t="shared" si="1"/>
        <v>🔴 Vermelho</v>
      </c>
      <c r="G48" s="31"/>
      <c r="H48" s="52" t="str">
        <f>IF(OR(B48="",G48=""),"",MAX(0,B48-(G48-Config!$B$17)))</f>
        <v/>
      </c>
      <c r="I48" s="55" t="str">
        <f>IF(OR(B48="",G48=""),"",MAX(0,(B48-(G48-Config!$B$17))/B48))</f>
        <v/>
      </c>
      <c r="J48" s="35"/>
    </row>
    <row r="49" spans="1:10" x14ac:dyDescent="0.3">
      <c r="A49" s="30"/>
      <c r="B49" s="31"/>
      <c r="C49" s="31"/>
      <c r="D49" s="32">
        <f>SUM($C$2:C49)</f>
        <v>-5.5099999999999989</v>
      </c>
      <c r="E49" s="33">
        <f>IF(Config!$B$9&lt;&gt;0,ABS(D49/Config!$B$9),0)</f>
        <v>0.23141537169256612</v>
      </c>
      <c r="F49" s="34" t="str">
        <f t="shared" si="1"/>
        <v>🔴 Vermelho</v>
      </c>
      <c r="G49" s="31"/>
      <c r="H49" s="52" t="str">
        <f>IF(OR(B49="",G49=""),"",MAX(0,B49-(G49-Config!$B$17)))</f>
        <v/>
      </c>
      <c r="I49" s="55" t="str">
        <f>IF(OR(B49="",G49=""),"",MAX(0,(B49-(G49-Config!$B$17))/B49))</f>
        <v/>
      </c>
      <c r="J49" s="35"/>
    </row>
    <row r="50" spans="1:10" x14ac:dyDescent="0.3">
      <c r="A50" s="30"/>
      <c r="B50" s="31"/>
      <c r="C50" s="31"/>
      <c r="D50" s="32">
        <f>SUM($C$2:C50)</f>
        <v>-5.5099999999999989</v>
      </c>
      <c r="E50" s="33">
        <f>IF(Config!$B$9&lt;&gt;0,ABS(D50/Config!$B$9),0)</f>
        <v>0.23141537169256612</v>
      </c>
      <c r="F50" s="34" t="str">
        <f t="shared" si="1"/>
        <v>🔴 Vermelho</v>
      </c>
      <c r="G50" s="31"/>
      <c r="H50" s="52" t="str">
        <f>IF(OR(B50="",G50=""),"",MAX(0,B50-(G50-Config!$B$17)))</f>
        <v/>
      </c>
      <c r="I50" s="55" t="str">
        <f>IF(OR(B50="",G50=""),"",MAX(0,(B50-(G50-Config!$B$17))/B50))</f>
        <v/>
      </c>
      <c r="J50" s="35"/>
    </row>
    <row r="51" spans="1:10" x14ac:dyDescent="0.3">
      <c r="A51" s="30"/>
      <c r="B51" s="31"/>
      <c r="C51" s="31"/>
      <c r="D51" s="32">
        <f>SUM($C$2:C51)</f>
        <v>-5.5099999999999989</v>
      </c>
      <c r="E51" s="33">
        <f>IF(Config!$B$9&lt;&gt;0,ABS(D51/Config!$B$9),0)</f>
        <v>0.23141537169256612</v>
      </c>
      <c r="F51" s="34" t="str">
        <f t="shared" si="1"/>
        <v>🔴 Vermelho</v>
      </c>
      <c r="G51" s="31"/>
      <c r="H51" s="52" t="str">
        <f>IF(OR(B51="",G51=""),"",MAX(0,B51-(G51-Config!$B$17)))</f>
        <v/>
      </c>
      <c r="I51" s="55" t="str">
        <f>IF(OR(B51="",G51=""),"",MAX(0,(B51-(G51-Config!$B$17))/B51))</f>
        <v/>
      </c>
      <c r="J51" s="35"/>
    </row>
    <row r="52" spans="1:10" x14ac:dyDescent="0.3">
      <c r="A52" s="30"/>
      <c r="B52" s="31"/>
      <c r="C52" s="31"/>
      <c r="D52" s="32">
        <f>SUM($C$2:C52)</f>
        <v>-5.5099999999999989</v>
      </c>
      <c r="E52" s="33">
        <f>IF(Config!$B$9&lt;&gt;0,ABS(D52/Config!$B$9),0)</f>
        <v>0.23141537169256612</v>
      </c>
      <c r="F52" s="34" t="str">
        <f t="shared" si="1"/>
        <v>🔴 Vermelho</v>
      </c>
      <c r="G52" s="31"/>
      <c r="H52" s="52" t="str">
        <f>IF(OR(B52="",G52=""),"",MAX(0,B52-(G52-Config!$B$17)))</f>
        <v/>
      </c>
      <c r="I52" s="55" t="str">
        <f>IF(OR(B52="",G52=""),"",MAX(0,(B52-(G52-Config!$B$17))/B52))</f>
        <v/>
      </c>
      <c r="J52" s="35"/>
    </row>
    <row r="53" spans="1:10" x14ac:dyDescent="0.3">
      <c r="A53" s="30"/>
      <c r="B53" s="31"/>
      <c r="C53" s="31"/>
      <c r="D53" s="32">
        <f>SUM($C$2:C53)</f>
        <v>-5.5099999999999989</v>
      </c>
      <c r="E53" s="33">
        <f>IF(Config!$B$9&lt;&gt;0,ABS(D53/Config!$B$9),0)</f>
        <v>0.23141537169256612</v>
      </c>
      <c r="F53" s="34" t="str">
        <f t="shared" si="1"/>
        <v>🔴 Vermelho</v>
      </c>
      <c r="G53" s="31"/>
      <c r="H53" s="52" t="str">
        <f>IF(OR(B53="",G53=""),"",MAX(0,B53-(G53-Config!$B$17)))</f>
        <v/>
      </c>
      <c r="I53" s="55" t="str">
        <f>IF(OR(B53="",G53=""),"",MAX(0,(B53-(G53-Config!$B$17))/B53))</f>
        <v/>
      </c>
      <c r="J53" s="35"/>
    </row>
    <row r="54" spans="1:10" x14ac:dyDescent="0.3">
      <c r="A54" s="30"/>
      <c r="B54" s="31"/>
      <c r="C54" s="31"/>
      <c r="D54" s="32">
        <f>SUM($C$2:C54)</f>
        <v>-5.5099999999999989</v>
      </c>
      <c r="E54" s="33">
        <f>IF(Config!$B$9&lt;&gt;0,ABS(D54/Config!$B$9),0)</f>
        <v>0.23141537169256612</v>
      </c>
      <c r="F54" s="34" t="str">
        <f t="shared" si="1"/>
        <v>🔴 Vermelho</v>
      </c>
      <c r="G54" s="31"/>
      <c r="H54" s="52" t="str">
        <f>IF(OR(B54="",G54=""),"",MAX(0,B54-(G54-Config!$B$17)))</f>
        <v/>
      </c>
      <c r="I54" s="55" t="str">
        <f>IF(OR(B54="",G54=""),"",MAX(0,(B54-(G54-Config!$B$17))/B54))</f>
        <v/>
      </c>
      <c r="J54" s="35"/>
    </row>
    <row r="55" spans="1:10" x14ac:dyDescent="0.3">
      <c r="A55" s="30"/>
      <c r="B55" s="31"/>
      <c r="C55" s="31"/>
      <c r="D55" s="32">
        <f>SUM($C$2:C55)</f>
        <v>-5.5099999999999989</v>
      </c>
      <c r="E55" s="33">
        <f>IF(Config!$B$9&lt;&gt;0,ABS(D55/Config!$B$9),0)</f>
        <v>0.23141537169256612</v>
      </c>
      <c r="F55" s="34" t="str">
        <f t="shared" si="1"/>
        <v>🔴 Vermelho</v>
      </c>
      <c r="G55" s="31"/>
      <c r="H55" s="52" t="str">
        <f>IF(OR(B55="",G55=""),"",MAX(0,B55-(G55-Config!$B$17)))</f>
        <v/>
      </c>
      <c r="I55" s="55" t="str">
        <f>IF(OR(B55="",G55=""),"",MAX(0,(B55-(G55-Config!$B$17))/B55))</f>
        <v/>
      </c>
      <c r="J55" s="35"/>
    </row>
    <row r="56" spans="1:10" x14ac:dyDescent="0.3">
      <c r="A56" s="30"/>
      <c r="B56" s="31"/>
      <c r="C56" s="31"/>
      <c r="D56" s="32">
        <f>SUM($C$2:C56)</f>
        <v>-5.5099999999999989</v>
      </c>
      <c r="E56" s="33">
        <f>IF(Config!$B$9&lt;&gt;0,ABS(D56/Config!$B$9),0)</f>
        <v>0.23141537169256612</v>
      </c>
      <c r="F56" s="34" t="str">
        <f t="shared" si="1"/>
        <v>🔴 Vermelho</v>
      </c>
      <c r="G56" s="31"/>
      <c r="H56" s="52" t="str">
        <f>IF(OR(B56="",G56=""),"",MAX(0,B56-(G56-Config!$B$17)))</f>
        <v/>
      </c>
      <c r="I56" s="55" t="str">
        <f>IF(OR(B56="",G56=""),"",MAX(0,(B56-(G56-Config!$B$17))/B56))</f>
        <v/>
      </c>
      <c r="J56" s="35"/>
    </row>
    <row r="57" spans="1:10" x14ac:dyDescent="0.3">
      <c r="A57" s="30"/>
      <c r="B57" s="31"/>
      <c r="C57" s="31"/>
      <c r="D57" s="32">
        <f>SUM($C$2:C57)</f>
        <v>-5.5099999999999989</v>
      </c>
      <c r="E57" s="33">
        <f>IF(Config!$B$9&lt;&gt;0,ABS(D57/Config!$B$9),0)</f>
        <v>0.23141537169256612</v>
      </c>
      <c r="F57" s="34" t="str">
        <f t="shared" si="1"/>
        <v>🔴 Vermelho</v>
      </c>
      <c r="G57" s="31"/>
      <c r="H57" s="52" t="str">
        <f>IF(OR(B57="",G57=""),"",MAX(0,B57-(G57-Config!$B$17)))</f>
        <v/>
      </c>
      <c r="I57" s="55" t="str">
        <f>IF(OR(B57="",G57=""),"",MAX(0,(B57-(G57-Config!$B$17))/B57))</f>
        <v/>
      </c>
      <c r="J57" s="35"/>
    </row>
    <row r="58" spans="1:10" x14ac:dyDescent="0.3">
      <c r="A58" s="30"/>
      <c r="B58" s="31"/>
      <c r="C58" s="31"/>
      <c r="D58" s="32">
        <f>SUM($C$2:C58)</f>
        <v>-5.5099999999999989</v>
      </c>
      <c r="E58" s="33">
        <f>IF(Config!$B$9&lt;&gt;0,ABS(D58/Config!$B$9),0)</f>
        <v>0.23141537169256612</v>
      </c>
      <c r="F58" s="34" t="str">
        <f t="shared" si="1"/>
        <v>🔴 Vermelho</v>
      </c>
      <c r="G58" s="31"/>
      <c r="H58" s="52" t="str">
        <f>IF(OR(B58="",G58=""),"",MAX(0,B58-(G58-Config!$B$17)))</f>
        <v/>
      </c>
      <c r="I58" s="55" t="str">
        <f>IF(OR(B58="",G58=""),"",MAX(0,(B58-(G58-Config!$B$17))/B58))</f>
        <v/>
      </c>
      <c r="J58" s="35"/>
    </row>
    <row r="59" spans="1:10" x14ac:dyDescent="0.3">
      <c r="A59" s="30"/>
      <c r="B59" s="31"/>
      <c r="C59" s="31"/>
      <c r="D59" s="32">
        <f>SUM($C$2:C59)</f>
        <v>-5.5099999999999989</v>
      </c>
      <c r="E59" s="33">
        <f>IF(Config!$B$9&lt;&gt;0,ABS(D59/Config!$B$9),0)</f>
        <v>0.23141537169256612</v>
      </c>
      <c r="F59" s="34" t="str">
        <f t="shared" si="1"/>
        <v>🔴 Vermelho</v>
      </c>
      <c r="G59" s="31"/>
      <c r="H59" s="52" t="str">
        <f>IF(OR(B59="",G59=""),"",MAX(0,B59-(G59-Config!$B$17)))</f>
        <v/>
      </c>
      <c r="I59" s="55" t="str">
        <f>IF(OR(B59="",G59=""),"",MAX(0,(B59-(G59-Config!$B$17))/B59))</f>
        <v/>
      </c>
      <c r="J59" s="35"/>
    </row>
    <row r="60" spans="1:10" x14ac:dyDescent="0.3">
      <c r="A60" s="30"/>
      <c r="B60" s="31"/>
      <c r="C60" s="31"/>
      <c r="D60" s="32">
        <f>SUM($C$2:C60)</f>
        <v>-5.5099999999999989</v>
      </c>
      <c r="E60" s="33">
        <f>IF(Config!$B$9&lt;&gt;0,ABS(D60/Config!$B$9),0)</f>
        <v>0.23141537169256612</v>
      </c>
      <c r="F60" s="34" t="str">
        <f t="shared" si="1"/>
        <v>🔴 Vermelho</v>
      </c>
      <c r="G60" s="31"/>
      <c r="H60" s="52" t="str">
        <f>IF(OR(B60="",G60=""),"",MAX(0,B60-(G60-Config!$B$17)))</f>
        <v/>
      </c>
      <c r="I60" s="55" t="str">
        <f>IF(OR(B60="",G60=""),"",MAX(0,(B60-(G60-Config!$B$17))/B60))</f>
        <v/>
      </c>
      <c r="J60" s="35"/>
    </row>
    <row r="61" spans="1:10" x14ac:dyDescent="0.3">
      <c r="A61" s="30"/>
      <c r="B61" s="31"/>
      <c r="C61" s="31"/>
      <c r="D61" s="32">
        <f>SUM($C$2:C61)</f>
        <v>-5.5099999999999989</v>
      </c>
      <c r="E61" s="33">
        <f>IF(Config!$B$9&lt;&gt;0,ABS(D61/Config!$B$9),0)</f>
        <v>0.23141537169256612</v>
      </c>
      <c r="F61" s="34" t="str">
        <f t="shared" si="1"/>
        <v>🔴 Vermelho</v>
      </c>
      <c r="G61" s="31"/>
      <c r="H61" s="52" t="str">
        <f>IF(OR(B61="",G61=""),"",MAX(0,B61-(G61-Config!$B$17)))</f>
        <v/>
      </c>
      <c r="I61" s="55" t="str">
        <f>IF(OR(B61="",G61=""),"",MAX(0,(B61-(G61-Config!$B$17))/B61))</f>
        <v/>
      </c>
      <c r="J61" s="35"/>
    </row>
    <row r="62" spans="1:10" x14ac:dyDescent="0.3">
      <c r="A62" s="30"/>
      <c r="B62" s="31"/>
      <c r="C62" s="31"/>
      <c r="D62" s="32">
        <f>SUM($C$2:C62)</f>
        <v>-5.5099999999999989</v>
      </c>
      <c r="E62" s="33">
        <f>IF(Config!$B$9&lt;&gt;0,ABS(D62/Config!$B$9),0)</f>
        <v>0.23141537169256612</v>
      </c>
      <c r="F62" s="34" t="str">
        <f t="shared" si="1"/>
        <v>🔴 Vermelho</v>
      </c>
      <c r="G62" s="31"/>
      <c r="H62" s="52" t="str">
        <f>IF(OR(B62="",G62=""),"",MAX(0,B62-(G62-Config!$B$17)))</f>
        <v/>
      </c>
      <c r="I62" s="55" t="str">
        <f>IF(OR(B62="",G62=""),"",MAX(0,(B62-(G62-Config!$B$17))/B62))</f>
        <v/>
      </c>
      <c r="J62" s="35"/>
    </row>
    <row r="63" spans="1:10" x14ac:dyDescent="0.3">
      <c r="A63" s="30"/>
      <c r="B63" s="31"/>
      <c r="C63" s="31"/>
      <c r="D63" s="32">
        <f>SUM($C$2:C63)</f>
        <v>-5.5099999999999989</v>
      </c>
      <c r="E63" s="33">
        <f>IF(Config!$B$9&lt;&gt;0,ABS(D63/Config!$B$9),0)</f>
        <v>0.23141537169256612</v>
      </c>
      <c r="F63" s="34" t="str">
        <f t="shared" si="1"/>
        <v>🔴 Vermelho</v>
      </c>
      <c r="G63" s="31"/>
      <c r="H63" s="52" t="str">
        <f>IF(OR(B63="",G63=""),"",MAX(0,B63-(G63-Config!$B$17)))</f>
        <v/>
      </c>
      <c r="I63" s="55" t="str">
        <f>IF(OR(B63="",G63=""),"",MAX(0,(B63-(G63-Config!$B$17))/B63))</f>
        <v/>
      </c>
      <c r="J63" s="35"/>
    </row>
    <row r="64" spans="1:10" x14ac:dyDescent="0.3">
      <c r="A64" s="30"/>
      <c r="B64" s="31"/>
      <c r="C64" s="31"/>
      <c r="D64" s="32">
        <f>SUM($C$2:C64)</f>
        <v>-5.5099999999999989</v>
      </c>
      <c r="E64" s="33">
        <f>IF(Config!$B$9&lt;&gt;0,ABS(D64/Config!$B$9),0)</f>
        <v>0.23141537169256612</v>
      </c>
      <c r="F64" s="34" t="str">
        <f t="shared" si="1"/>
        <v>🔴 Vermelho</v>
      </c>
      <c r="G64" s="31"/>
      <c r="H64" s="52" t="str">
        <f>IF(OR(B64="",G64=""),"",MAX(0,B64-(G64-Config!$B$17)))</f>
        <v/>
      </c>
      <c r="I64" s="55" t="str">
        <f>IF(OR(B64="",G64=""),"",MAX(0,(B64-(G64-Config!$B$17))/B64))</f>
        <v/>
      </c>
      <c r="J64" s="35"/>
    </row>
    <row r="65" spans="1:10" x14ac:dyDescent="0.3">
      <c r="A65" s="30"/>
      <c r="B65" s="31"/>
      <c r="C65" s="31"/>
      <c r="D65" s="32">
        <f>SUM($C$2:C65)</f>
        <v>-5.5099999999999989</v>
      </c>
      <c r="E65" s="33">
        <f>IF(Config!$B$9&lt;&gt;0,ABS(D65/Config!$B$9),0)</f>
        <v>0.23141537169256612</v>
      </c>
      <c r="F65" s="34" t="str">
        <f t="shared" si="1"/>
        <v>🔴 Vermelho</v>
      </c>
      <c r="G65" s="31"/>
      <c r="H65" s="52" t="str">
        <f>IF(OR(B65="",G65=""),"",MAX(0,B65-(G65-Config!$B$17)))</f>
        <v/>
      </c>
      <c r="I65" s="55" t="str">
        <f>IF(OR(B65="",G65=""),"",MAX(0,(B65-(G65-Config!$B$17))/B65))</f>
        <v/>
      </c>
      <c r="J65" s="35"/>
    </row>
    <row r="66" spans="1:10" x14ac:dyDescent="0.3">
      <c r="A66" s="30"/>
      <c r="B66" s="31"/>
      <c r="C66" s="31"/>
      <c r="D66" s="32">
        <f>SUM($C$2:C66)</f>
        <v>-5.5099999999999989</v>
      </c>
      <c r="E66" s="33">
        <f>IF(Config!$B$9&lt;&gt;0,ABS(D66/Config!$B$9),0)</f>
        <v>0.23141537169256612</v>
      </c>
      <c r="F66" s="34" t="str">
        <f t="shared" ref="F66:F97" si="2">IF(E66&lt;0.3,"🔴 Vermelho",IF(E66&lt;0.6,"🟡 Amarelo","🟢 Verde"))</f>
        <v>🔴 Vermelho</v>
      </c>
      <c r="G66" s="31"/>
      <c r="H66" s="52" t="str">
        <f>IF(OR(B66="",G66=""),"",MAX(0,B66-(G66-Config!$B$17)))</f>
        <v/>
      </c>
      <c r="I66" s="55" t="str">
        <f>IF(OR(B66="",G66=""),"",MAX(0,(B66-(G66-Config!$B$17))/B66))</f>
        <v/>
      </c>
      <c r="J66" s="35"/>
    </row>
    <row r="67" spans="1:10" x14ac:dyDescent="0.3">
      <c r="A67" s="30"/>
      <c r="B67" s="31"/>
      <c r="C67" s="31"/>
      <c r="D67" s="32">
        <f>SUM($C$2:C67)</f>
        <v>-5.5099999999999989</v>
      </c>
      <c r="E67" s="33">
        <f>IF(Config!$B$9&lt;&gt;0,ABS(D67/Config!$B$9),0)</f>
        <v>0.23141537169256612</v>
      </c>
      <c r="F67" s="34" t="str">
        <f t="shared" si="2"/>
        <v>🔴 Vermelho</v>
      </c>
      <c r="G67" s="31"/>
      <c r="H67" s="52" t="str">
        <f>IF(OR(B67="",G67=""),"",MAX(0,B67-(G67-Config!$B$17)))</f>
        <v/>
      </c>
      <c r="I67" s="55" t="str">
        <f>IF(OR(B67="",G67=""),"",MAX(0,(B67-(G67-Config!$B$17))/B67))</f>
        <v/>
      </c>
      <c r="J67" s="35"/>
    </row>
    <row r="68" spans="1:10" x14ac:dyDescent="0.3">
      <c r="A68" s="30"/>
      <c r="B68" s="31"/>
      <c r="C68" s="31"/>
      <c r="D68" s="32">
        <f>SUM($C$2:C68)</f>
        <v>-5.5099999999999989</v>
      </c>
      <c r="E68" s="33">
        <f>IF(Config!$B$9&lt;&gt;0,ABS(D68/Config!$B$9),0)</f>
        <v>0.23141537169256612</v>
      </c>
      <c r="F68" s="34" t="str">
        <f t="shared" si="2"/>
        <v>🔴 Vermelho</v>
      </c>
      <c r="G68" s="31"/>
      <c r="H68" s="52" t="str">
        <f>IF(OR(B68="",G68=""),"",MAX(0,B68-(G68-Config!$B$17)))</f>
        <v/>
      </c>
      <c r="I68" s="55" t="str">
        <f>IF(OR(B68="",G68=""),"",MAX(0,(B68-(G68-Config!$B$17))/B68))</f>
        <v/>
      </c>
      <c r="J68" s="35"/>
    </row>
    <row r="69" spans="1:10" x14ac:dyDescent="0.3">
      <c r="A69" s="30"/>
      <c r="B69" s="31"/>
      <c r="C69" s="31"/>
      <c r="D69" s="32">
        <f>SUM($C$2:C69)</f>
        <v>-5.5099999999999989</v>
      </c>
      <c r="E69" s="33">
        <f>IF(Config!$B$9&lt;&gt;0,ABS(D69/Config!$B$9),0)</f>
        <v>0.23141537169256612</v>
      </c>
      <c r="F69" s="34" t="str">
        <f t="shared" si="2"/>
        <v>🔴 Vermelho</v>
      </c>
      <c r="G69" s="31"/>
      <c r="H69" s="52" t="str">
        <f>IF(OR(B69="",G69=""),"",MAX(0,B69-(G69-Config!$B$17)))</f>
        <v/>
      </c>
      <c r="I69" s="55" t="str">
        <f>IF(OR(B69="",G69=""),"",MAX(0,(B69-(G69-Config!$B$17))/B69))</f>
        <v/>
      </c>
      <c r="J69" s="35"/>
    </row>
    <row r="70" spans="1:10" x14ac:dyDescent="0.3">
      <c r="A70" s="30"/>
      <c r="B70" s="31"/>
      <c r="C70" s="31"/>
      <c r="D70" s="32">
        <f>SUM($C$2:C70)</f>
        <v>-5.5099999999999989</v>
      </c>
      <c r="E70" s="33">
        <f>IF(Config!$B$9&lt;&gt;0,ABS(D70/Config!$B$9),0)</f>
        <v>0.23141537169256612</v>
      </c>
      <c r="F70" s="34" t="str">
        <f t="shared" si="2"/>
        <v>🔴 Vermelho</v>
      </c>
      <c r="G70" s="31"/>
      <c r="H70" s="52" t="str">
        <f>IF(OR(B70="",G70=""),"",MAX(0,B70-(G70-Config!$B$17)))</f>
        <v/>
      </c>
      <c r="I70" s="55" t="str">
        <f>IF(OR(B70="",G70=""),"",MAX(0,(B70-(G70-Config!$B$17))/B70))</f>
        <v/>
      </c>
      <c r="J70" s="35"/>
    </row>
    <row r="71" spans="1:10" x14ac:dyDescent="0.3">
      <c r="A71" s="30"/>
      <c r="B71" s="31"/>
      <c r="C71" s="31"/>
      <c r="D71" s="32">
        <f>SUM($C$2:C71)</f>
        <v>-5.5099999999999989</v>
      </c>
      <c r="E71" s="33">
        <f>IF(Config!$B$9&lt;&gt;0,ABS(D71/Config!$B$9),0)</f>
        <v>0.23141537169256612</v>
      </c>
      <c r="F71" s="34" t="str">
        <f t="shared" si="2"/>
        <v>🔴 Vermelho</v>
      </c>
      <c r="G71" s="31"/>
      <c r="H71" s="52" t="str">
        <f>IF(OR(B71="",G71=""),"",MAX(0,B71-(G71-Config!$B$17)))</f>
        <v/>
      </c>
      <c r="I71" s="55" t="str">
        <f>IF(OR(B71="",G71=""),"",MAX(0,(B71-(G71-Config!$B$17))/B71))</f>
        <v/>
      </c>
      <c r="J71" s="35"/>
    </row>
    <row r="72" spans="1:10" x14ac:dyDescent="0.3">
      <c r="A72" s="30"/>
      <c r="B72" s="31"/>
      <c r="C72" s="31"/>
      <c r="D72" s="32">
        <f>SUM($C$2:C72)</f>
        <v>-5.5099999999999989</v>
      </c>
      <c r="E72" s="33">
        <f>IF(Config!$B$9&lt;&gt;0,ABS(D72/Config!$B$9),0)</f>
        <v>0.23141537169256612</v>
      </c>
      <c r="F72" s="34" t="str">
        <f t="shared" si="2"/>
        <v>🔴 Vermelho</v>
      </c>
      <c r="G72" s="31"/>
      <c r="H72" s="52" t="str">
        <f>IF(OR(B72="",G72=""),"",MAX(0,B72-(G72-Config!$B$17)))</f>
        <v/>
      </c>
      <c r="I72" s="55" t="str">
        <f>IF(OR(B72="",G72=""),"",MAX(0,(B72-(G72-Config!$B$17))/B72))</f>
        <v/>
      </c>
      <c r="J72" s="35"/>
    </row>
    <row r="73" spans="1:10" x14ac:dyDescent="0.3">
      <c r="A73" s="30"/>
      <c r="B73" s="31"/>
      <c r="C73" s="31"/>
      <c r="D73" s="32">
        <f>SUM($C$2:C73)</f>
        <v>-5.5099999999999989</v>
      </c>
      <c r="E73" s="33">
        <f>IF(Config!$B$9&lt;&gt;0,ABS(D73/Config!$B$9),0)</f>
        <v>0.23141537169256612</v>
      </c>
      <c r="F73" s="34" t="str">
        <f t="shared" si="2"/>
        <v>🔴 Vermelho</v>
      </c>
      <c r="G73" s="31"/>
      <c r="H73" s="52" t="str">
        <f>IF(OR(B73="",G73=""),"",MAX(0,B73-(G73-Config!$B$17)))</f>
        <v/>
      </c>
      <c r="I73" s="55" t="str">
        <f>IF(OR(B73="",G73=""),"",MAX(0,(B73-(G73-Config!$B$17))/B73))</f>
        <v/>
      </c>
      <c r="J73" s="35"/>
    </row>
    <row r="74" spans="1:10" x14ac:dyDescent="0.3">
      <c r="A74" s="30"/>
      <c r="B74" s="31"/>
      <c r="C74" s="31"/>
      <c r="D74" s="32">
        <f>SUM($C$2:C74)</f>
        <v>-5.5099999999999989</v>
      </c>
      <c r="E74" s="33">
        <f>IF(Config!$B$9&lt;&gt;0,ABS(D74/Config!$B$9),0)</f>
        <v>0.23141537169256612</v>
      </c>
      <c r="F74" s="34" t="str">
        <f t="shared" si="2"/>
        <v>🔴 Vermelho</v>
      </c>
      <c r="G74" s="31"/>
      <c r="H74" s="52" t="str">
        <f>IF(OR(B74="",G74=""),"",MAX(0,B74-(G74-Config!$B$17)))</f>
        <v/>
      </c>
      <c r="I74" s="55" t="str">
        <f>IF(OR(B74="",G74=""),"",MAX(0,(B74-(G74-Config!$B$17))/B74))</f>
        <v/>
      </c>
      <c r="J74" s="35"/>
    </row>
    <row r="75" spans="1:10" x14ac:dyDescent="0.3">
      <c r="A75" s="30"/>
      <c r="B75" s="31"/>
      <c r="C75" s="31"/>
      <c r="D75" s="32">
        <f>SUM($C$2:C75)</f>
        <v>-5.5099999999999989</v>
      </c>
      <c r="E75" s="33">
        <f>IF(Config!$B$9&lt;&gt;0,ABS(D75/Config!$B$9),0)</f>
        <v>0.23141537169256612</v>
      </c>
      <c r="F75" s="34" t="str">
        <f t="shared" si="2"/>
        <v>🔴 Vermelho</v>
      </c>
      <c r="G75" s="31"/>
      <c r="H75" s="52" t="str">
        <f>IF(OR(B75="",G75=""),"",MAX(0,B75-(G75-Config!$B$17)))</f>
        <v/>
      </c>
      <c r="I75" s="55" t="str">
        <f>IF(OR(B75="",G75=""),"",MAX(0,(B75-(G75-Config!$B$17))/B75))</f>
        <v/>
      </c>
      <c r="J75" s="35"/>
    </row>
    <row r="76" spans="1:10" x14ac:dyDescent="0.3">
      <c r="A76" s="30"/>
      <c r="B76" s="31"/>
      <c r="C76" s="31"/>
      <c r="D76" s="32">
        <f>SUM($C$2:C76)</f>
        <v>-5.5099999999999989</v>
      </c>
      <c r="E76" s="33">
        <f>IF(Config!$B$9&lt;&gt;0,ABS(D76/Config!$B$9),0)</f>
        <v>0.23141537169256612</v>
      </c>
      <c r="F76" s="34" t="str">
        <f t="shared" si="2"/>
        <v>🔴 Vermelho</v>
      </c>
      <c r="G76" s="31"/>
      <c r="H76" s="52" t="str">
        <f>IF(OR(B76="",G76=""),"",MAX(0,B76-(G76-Config!$B$17)))</f>
        <v/>
      </c>
      <c r="I76" s="55" t="str">
        <f>IF(OR(B76="",G76=""),"",MAX(0,(B76-(G76-Config!$B$17))/B76))</f>
        <v/>
      </c>
      <c r="J76" s="35"/>
    </row>
    <row r="77" spans="1:10" x14ac:dyDescent="0.3">
      <c r="A77" s="30"/>
      <c r="B77" s="31"/>
      <c r="C77" s="31"/>
      <c r="D77" s="32">
        <f>SUM($C$2:C77)</f>
        <v>-5.5099999999999989</v>
      </c>
      <c r="E77" s="33">
        <f>IF(Config!$B$9&lt;&gt;0,ABS(D77/Config!$B$9),0)</f>
        <v>0.23141537169256612</v>
      </c>
      <c r="F77" s="34" t="str">
        <f t="shared" si="2"/>
        <v>🔴 Vermelho</v>
      </c>
      <c r="G77" s="31"/>
      <c r="H77" s="52" t="str">
        <f>IF(OR(B77="",G77=""),"",MAX(0,B77-(G77-Config!$B$17)))</f>
        <v/>
      </c>
      <c r="I77" s="55" t="str">
        <f>IF(OR(B77="",G77=""),"",MAX(0,(B77-(G77-Config!$B$17))/B77))</f>
        <v/>
      </c>
      <c r="J77" s="35"/>
    </row>
    <row r="78" spans="1:10" x14ac:dyDescent="0.3">
      <c r="A78" s="30"/>
      <c r="B78" s="31"/>
      <c r="C78" s="31"/>
      <c r="D78" s="32">
        <f>SUM($C$2:C78)</f>
        <v>-5.5099999999999989</v>
      </c>
      <c r="E78" s="33">
        <f>IF(Config!$B$9&lt;&gt;0,ABS(D78/Config!$B$9),0)</f>
        <v>0.23141537169256612</v>
      </c>
      <c r="F78" s="34" t="str">
        <f t="shared" si="2"/>
        <v>🔴 Vermelho</v>
      </c>
      <c r="G78" s="31"/>
      <c r="H78" s="52" t="str">
        <f>IF(OR(B78="",G78=""),"",MAX(0,B78-(G78-Config!$B$17)))</f>
        <v/>
      </c>
      <c r="I78" s="55" t="str">
        <f>IF(OR(B78="",G78=""),"",MAX(0,(B78-(G78-Config!$B$17))/B78))</f>
        <v/>
      </c>
      <c r="J78" s="35"/>
    </row>
    <row r="79" spans="1:10" x14ac:dyDescent="0.3">
      <c r="A79" s="30"/>
      <c r="B79" s="31"/>
      <c r="C79" s="31"/>
      <c r="D79" s="32">
        <f>SUM($C$2:C79)</f>
        <v>-5.5099999999999989</v>
      </c>
      <c r="E79" s="33">
        <f>IF(Config!$B$9&lt;&gt;0,ABS(D79/Config!$B$9),0)</f>
        <v>0.23141537169256612</v>
      </c>
      <c r="F79" s="34" t="str">
        <f t="shared" si="2"/>
        <v>🔴 Vermelho</v>
      </c>
      <c r="G79" s="31"/>
      <c r="H79" s="52" t="str">
        <f>IF(OR(B79="",G79=""),"",MAX(0,B79-(G79-Config!$B$17)))</f>
        <v/>
      </c>
      <c r="I79" s="55" t="str">
        <f>IF(OR(B79="",G79=""),"",MAX(0,(B79-(G79-Config!$B$17))/B79))</f>
        <v/>
      </c>
      <c r="J79" s="35"/>
    </row>
    <row r="80" spans="1:10" x14ac:dyDescent="0.3">
      <c r="A80" s="30"/>
      <c r="B80" s="31"/>
      <c r="C80" s="31"/>
      <c r="D80" s="32">
        <f>SUM($C$2:C80)</f>
        <v>-5.5099999999999989</v>
      </c>
      <c r="E80" s="33">
        <f>IF(Config!$B$9&lt;&gt;0,ABS(D80/Config!$B$9),0)</f>
        <v>0.23141537169256612</v>
      </c>
      <c r="F80" s="34" t="str">
        <f t="shared" si="2"/>
        <v>🔴 Vermelho</v>
      </c>
      <c r="G80" s="31"/>
      <c r="H80" s="52" t="str">
        <f>IF(OR(B80="",G80=""),"",MAX(0,B80-(G80-Config!$B$17)))</f>
        <v/>
      </c>
      <c r="I80" s="55" t="str">
        <f>IF(OR(B80="",G80=""),"",MAX(0,(B80-(G80-Config!$B$17))/B80))</f>
        <v/>
      </c>
      <c r="J80" s="35"/>
    </row>
    <row r="81" spans="1:10" x14ac:dyDescent="0.3">
      <c r="A81" s="30"/>
      <c r="B81" s="31"/>
      <c r="C81" s="31"/>
      <c r="D81" s="32">
        <f>SUM($C$2:C81)</f>
        <v>-5.5099999999999989</v>
      </c>
      <c r="E81" s="33">
        <f>IF(Config!$B$9&lt;&gt;0,ABS(D81/Config!$B$9),0)</f>
        <v>0.23141537169256612</v>
      </c>
      <c r="F81" s="34" t="str">
        <f t="shared" si="2"/>
        <v>🔴 Vermelho</v>
      </c>
      <c r="G81" s="31"/>
      <c r="H81" s="52" t="str">
        <f>IF(OR(B81="",G81=""),"",MAX(0,B81-(G81-Config!$B$17)))</f>
        <v/>
      </c>
      <c r="I81" s="55" t="str">
        <f>IF(OR(B81="",G81=""),"",MAX(0,(B81-(G81-Config!$B$17))/B81))</f>
        <v/>
      </c>
      <c r="J81" s="35"/>
    </row>
    <row r="82" spans="1:10" x14ac:dyDescent="0.3">
      <c r="A82" s="30"/>
      <c r="B82" s="31"/>
      <c r="C82" s="31"/>
      <c r="D82" s="32">
        <f>SUM($C$2:C82)</f>
        <v>-5.5099999999999989</v>
      </c>
      <c r="E82" s="33">
        <f>IF(Config!$B$9&lt;&gt;0,ABS(D82/Config!$B$9),0)</f>
        <v>0.23141537169256612</v>
      </c>
      <c r="F82" s="34" t="str">
        <f t="shared" si="2"/>
        <v>🔴 Vermelho</v>
      </c>
      <c r="G82" s="31"/>
      <c r="H82" s="52" t="str">
        <f>IF(OR(B82="",G82=""),"",MAX(0,B82-(G82-Config!$B$17)))</f>
        <v/>
      </c>
      <c r="I82" s="55" t="str">
        <f>IF(OR(B82="",G82=""),"",MAX(0,(B82-(G82-Config!$B$17))/B82))</f>
        <v/>
      </c>
      <c r="J82" s="35"/>
    </row>
    <row r="83" spans="1:10" x14ac:dyDescent="0.3">
      <c r="A83" s="30"/>
      <c r="B83" s="31"/>
      <c r="C83" s="31"/>
      <c r="D83" s="32">
        <f>SUM($C$2:C83)</f>
        <v>-5.5099999999999989</v>
      </c>
      <c r="E83" s="33">
        <f>IF(Config!$B$9&lt;&gt;0,ABS(D83/Config!$B$9),0)</f>
        <v>0.23141537169256612</v>
      </c>
      <c r="F83" s="34" t="str">
        <f t="shared" si="2"/>
        <v>🔴 Vermelho</v>
      </c>
      <c r="G83" s="31"/>
      <c r="H83" s="52" t="str">
        <f>IF(OR(B83="",G83=""),"",MAX(0,B83-(G83-Config!$B$17)))</f>
        <v/>
      </c>
      <c r="I83" s="55" t="str">
        <f>IF(OR(B83="",G83=""),"",MAX(0,(B83-(G83-Config!$B$17))/B83))</f>
        <v/>
      </c>
      <c r="J83" s="35"/>
    </row>
    <row r="84" spans="1:10" x14ac:dyDescent="0.3">
      <c r="A84" s="30"/>
      <c r="B84" s="31"/>
      <c r="C84" s="31"/>
      <c r="D84" s="32">
        <f>SUM($C$2:C84)</f>
        <v>-5.5099999999999989</v>
      </c>
      <c r="E84" s="33">
        <f>IF(Config!$B$9&lt;&gt;0,ABS(D84/Config!$B$9),0)</f>
        <v>0.23141537169256612</v>
      </c>
      <c r="F84" s="34" t="str">
        <f t="shared" si="2"/>
        <v>🔴 Vermelho</v>
      </c>
      <c r="G84" s="31"/>
      <c r="H84" s="52" t="str">
        <f>IF(OR(B84="",G84=""),"",MAX(0,B84-(G84-Config!$B$17)))</f>
        <v/>
      </c>
      <c r="I84" s="55" t="str">
        <f>IF(OR(B84="",G84=""),"",MAX(0,(B84-(G84-Config!$B$17))/B84))</f>
        <v/>
      </c>
      <c r="J84" s="35"/>
    </row>
    <row r="85" spans="1:10" x14ac:dyDescent="0.3">
      <c r="A85" s="30"/>
      <c r="B85" s="31"/>
      <c r="C85" s="31"/>
      <c r="D85" s="32">
        <f>SUM($C$2:C85)</f>
        <v>-5.5099999999999989</v>
      </c>
      <c r="E85" s="33">
        <f>IF(Config!$B$9&lt;&gt;0,ABS(D85/Config!$B$9),0)</f>
        <v>0.23141537169256612</v>
      </c>
      <c r="F85" s="34" t="str">
        <f t="shared" si="2"/>
        <v>🔴 Vermelho</v>
      </c>
      <c r="G85" s="31"/>
      <c r="H85" s="52" t="str">
        <f>IF(OR(B85="",G85=""),"",MAX(0,B85-(G85-Config!$B$17)))</f>
        <v/>
      </c>
      <c r="I85" s="55" t="str">
        <f>IF(OR(B85="",G85=""),"",MAX(0,(B85-(G85-Config!$B$17))/B85))</f>
        <v/>
      </c>
      <c r="J85" s="35"/>
    </row>
    <row r="86" spans="1:10" x14ac:dyDescent="0.3">
      <c r="A86" s="30"/>
      <c r="B86" s="31"/>
      <c r="C86" s="31"/>
      <c r="D86" s="32">
        <f>SUM($C$2:C86)</f>
        <v>-5.5099999999999989</v>
      </c>
      <c r="E86" s="33">
        <f>IF(Config!$B$9&lt;&gt;0,ABS(D86/Config!$B$9),0)</f>
        <v>0.23141537169256612</v>
      </c>
      <c r="F86" s="34" t="str">
        <f t="shared" si="2"/>
        <v>🔴 Vermelho</v>
      </c>
      <c r="G86" s="31"/>
      <c r="H86" s="52" t="str">
        <f>IF(OR(B86="",G86=""),"",MAX(0,B86-(G86-Config!$B$17)))</f>
        <v/>
      </c>
      <c r="I86" s="55" t="str">
        <f>IF(OR(B86="",G86=""),"",MAX(0,(B86-(G86-Config!$B$17))/B86))</f>
        <v/>
      </c>
      <c r="J86" s="35"/>
    </row>
    <row r="87" spans="1:10" x14ac:dyDescent="0.3">
      <c r="A87" s="30"/>
      <c r="B87" s="31"/>
      <c r="C87" s="31"/>
      <c r="D87" s="32">
        <f>SUM($C$2:C87)</f>
        <v>-5.5099999999999989</v>
      </c>
      <c r="E87" s="33">
        <f>IF(Config!$B$9&lt;&gt;0,ABS(D87/Config!$B$9),0)</f>
        <v>0.23141537169256612</v>
      </c>
      <c r="F87" s="34" t="str">
        <f t="shared" si="2"/>
        <v>🔴 Vermelho</v>
      </c>
      <c r="G87" s="31"/>
      <c r="H87" s="52" t="str">
        <f>IF(OR(B87="",G87=""),"",MAX(0,B87-(G87-Config!$B$17)))</f>
        <v/>
      </c>
      <c r="I87" s="55" t="str">
        <f>IF(OR(B87="",G87=""),"",MAX(0,(B87-(G87-Config!$B$17))/B87))</f>
        <v/>
      </c>
      <c r="J87" s="35"/>
    </row>
    <row r="88" spans="1:10" x14ac:dyDescent="0.3">
      <c r="A88" s="30"/>
      <c r="B88" s="31"/>
      <c r="C88" s="31"/>
      <c r="D88" s="32">
        <f>SUM($C$2:C88)</f>
        <v>-5.5099999999999989</v>
      </c>
      <c r="E88" s="33">
        <f>IF(Config!$B$9&lt;&gt;0,ABS(D88/Config!$B$9),0)</f>
        <v>0.23141537169256612</v>
      </c>
      <c r="F88" s="34" t="str">
        <f t="shared" si="2"/>
        <v>🔴 Vermelho</v>
      </c>
      <c r="G88" s="31"/>
      <c r="H88" s="52" t="str">
        <f>IF(OR(B88="",G88=""),"",MAX(0,B88-(G88-Config!$B$17)))</f>
        <v/>
      </c>
      <c r="I88" s="55" t="str">
        <f>IF(OR(B88="",G88=""),"",MAX(0,(B88-(G88-Config!$B$17))/B88))</f>
        <v/>
      </c>
      <c r="J88" s="35"/>
    </row>
    <row r="89" spans="1:10" x14ac:dyDescent="0.3">
      <c r="A89" s="30"/>
      <c r="B89" s="31"/>
      <c r="C89" s="31"/>
      <c r="D89" s="32">
        <f>SUM($C$2:C89)</f>
        <v>-5.5099999999999989</v>
      </c>
      <c r="E89" s="33">
        <f>IF(Config!$B$9&lt;&gt;0,ABS(D89/Config!$B$9),0)</f>
        <v>0.23141537169256612</v>
      </c>
      <c r="F89" s="34" t="str">
        <f t="shared" si="2"/>
        <v>🔴 Vermelho</v>
      </c>
      <c r="G89" s="31"/>
      <c r="H89" s="52" t="str">
        <f>IF(OR(B89="",G89=""),"",MAX(0,B89-(G89-Config!$B$17)))</f>
        <v/>
      </c>
      <c r="I89" s="55" t="str">
        <f>IF(OR(B89="",G89=""),"",MAX(0,(B89-(G89-Config!$B$17))/B89))</f>
        <v/>
      </c>
      <c r="J89" s="35"/>
    </row>
    <row r="90" spans="1:10" x14ac:dyDescent="0.3">
      <c r="A90" s="30"/>
      <c r="B90" s="31"/>
      <c r="C90" s="31"/>
      <c r="D90" s="32">
        <f>SUM($C$2:C90)</f>
        <v>-5.5099999999999989</v>
      </c>
      <c r="E90" s="33">
        <f>IF(Config!$B$9&lt;&gt;0,ABS(D90/Config!$B$9),0)</f>
        <v>0.23141537169256612</v>
      </c>
      <c r="F90" s="34" t="str">
        <f t="shared" si="2"/>
        <v>🔴 Vermelho</v>
      </c>
      <c r="G90" s="31"/>
      <c r="H90" s="52" t="str">
        <f>IF(OR(B90="",G90=""),"",MAX(0,B90-(G90-Config!$B$17)))</f>
        <v/>
      </c>
      <c r="I90" s="55" t="str">
        <f>IF(OR(B90="",G90=""),"",MAX(0,(B90-(G90-Config!$B$17))/B90))</f>
        <v/>
      </c>
      <c r="J90" s="35"/>
    </row>
    <row r="91" spans="1:10" x14ac:dyDescent="0.3">
      <c r="A91" s="30"/>
      <c r="B91" s="31"/>
      <c r="C91" s="31"/>
      <c r="D91" s="32">
        <f>SUM($C$2:C91)</f>
        <v>-5.5099999999999989</v>
      </c>
      <c r="E91" s="33">
        <f>IF(Config!$B$9&lt;&gt;0,ABS(D91/Config!$B$9),0)</f>
        <v>0.23141537169256612</v>
      </c>
      <c r="F91" s="34" t="str">
        <f t="shared" si="2"/>
        <v>🔴 Vermelho</v>
      </c>
      <c r="G91" s="31"/>
      <c r="H91" s="52" t="str">
        <f>IF(OR(B91="",G91=""),"",MAX(0,B91-(G91-Config!$B$17)))</f>
        <v/>
      </c>
      <c r="I91" s="55" t="str">
        <f>IF(OR(B91="",G91=""),"",MAX(0,(B91-(G91-Config!$B$17))/B91))</f>
        <v/>
      </c>
      <c r="J91" s="35"/>
    </row>
    <row r="92" spans="1:10" x14ac:dyDescent="0.3">
      <c r="A92" s="30"/>
      <c r="B92" s="31"/>
      <c r="C92" s="31"/>
      <c r="D92" s="32">
        <f>SUM($C$2:C92)</f>
        <v>-5.5099999999999989</v>
      </c>
      <c r="E92" s="33">
        <f>IF(Config!$B$9&lt;&gt;0,ABS(D92/Config!$B$9),0)</f>
        <v>0.23141537169256612</v>
      </c>
      <c r="F92" s="34" t="str">
        <f t="shared" si="2"/>
        <v>🔴 Vermelho</v>
      </c>
      <c r="G92" s="31"/>
      <c r="H92" s="52" t="str">
        <f>IF(OR(B92="",G92=""),"",MAX(0,B92-(G92-Config!$B$17)))</f>
        <v/>
      </c>
      <c r="I92" s="55" t="str">
        <f>IF(OR(B92="",G92=""),"",MAX(0,(B92-(G92-Config!$B$17))/B92))</f>
        <v/>
      </c>
      <c r="J92" s="35"/>
    </row>
    <row r="93" spans="1:10" x14ac:dyDescent="0.3">
      <c r="A93" s="30"/>
      <c r="B93" s="31"/>
      <c r="C93" s="31"/>
      <c r="D93" s="32">
        <f>SUM($C$2:C93)</f>
        <v>-5.5099999999999989</v>
      </c>
      <c r="E93" s="33">
        <f>IF(Config!$B$9&lt;&gt;0,ABS(D93/Config!$B$9),0)</f>
        <v>0.23141537169256612</v>
      </c>
      <c r="F93" s="34" t="str">
        <f t="shared" si="2"/>
        <v>🔴 Vermelho</v>
      </c>
      <c r="G93" s="31"/>
      <c r="H93" s="52" t="str">
        <f>IF(OR(B93="",G93=""),"",MAX(0,B93-(G93-Config!$B$17)))</f>
        <v/>
      </c>
      <c r="I93" s="55" t="str">
        <f>IF(OR(B93="",G93=""),"",MAX(0,(B93-(G93-Config!$B$17))/B93))</f>
        <v/>
      </c>
      <c r="J93" s="35"/>
    </row>
    <row r="94" spans="1:10" x14ac:dyDescent="0.3">
      <c r="A94" s="30"/>
      <c r="B94" s="31"/>
      <c r="C94" s="31"/>
      <c r="D94" s="32">
        <f>SUM($C$2:C94)</f>
        <v>-5.5099999999999989</v>
      </c>
      <c r="E94" s="33">
        <f>IF(Config!$B$9&lt;&gt;0,ABS(D94/Config!$B$9),0)</f>
        <v>0.23141537169256612</v>
      </c>
      <c r="F94" s="34" t="str">
        <f t="shared" si="2"/>
        <v>🔴 Vermelho</v>
      </c>
      <c r="G94" s="31"/>
      <c r="H94" s="52" t="str">
        <f>IF(OR(B94="",G94=""),"",MAX(0,B94-(G94-Config!$B$17)))</f>
        <v/>
      </c>
      <c r="I94" s="55" t="str">
        <f>IF(OR(B94="",G94=""),"",MAX(0,(B94-(G94-Config!$B$17))/B94))</f>
        <v/>
      </c>
      <c r="J94" s="35"/>
    </row>
    <row r="95" spans="1:10" x14ac:dyDescent="0.3">
      <c r="A95" s="30"/>
      <c r="B95" s="31"/>
      <c r="C95" s="31"/>
      <c r="D95" s="32">
        <f>SUM($C$2:C95)</f>
        <v>-5.5099999999999989</v>
      </c>
      <c r="E95" s="33">
        <f>IF(Config!$B$9&lt;&gt;0,ABS(D95/Config!$B$9),0)</f>
        <v>0.23141537169256612</v>
      </c>
      <c r="F95" s="34" t="str">
        <f t="shared" si="2"/>
        <v>🔴 Vermelho</v>
      </c>
      <c r="G95" s="31"/>
      <c r="H95" s="52" t="str">
        <f>IF(OR(B95="",G95=""),"",MAX(0,B95-(G95-Config!$B$17)))</f>
        <v/>
      </c>
      <c r="I95" s="55" t="str">
        <f>IF(OR(B95="",G95=""),"",MAX(0,(B95-(G95-Config!$B$17))/B95))</f>
        <v/>
      </c>
      <c r="J95" s="35"/>
    </row>
    <row r="96" spans="1:10" x14ac:dyDescent="0.3">
      <c r="A96" s="30"/>
      <c r="B96" s="31"/>
      <c r="C96" s="31"/>
      <c r="D96" s="32">
        <f>SUM($C$2:C96)</f>
        <v>-5.5099999999999989</v>
      </c>
      <c r="E96" s="33">
        <f>IF(Config!$B$9&lt;&gt;0,ABS(D96/Config!$B$9),0)</f>
        <v>0.23141537169256612</v>
      </c>
      <c r="F96" s="34" t="str">
        <f t="shared" si="2"/>
        <v>🔴 Vermelho</v>
      </c>
      <c r="G96" s="31"/>
      <c r="H96" s="52" t="str">
        <f>IF(OR(B96="",G96=""),"",MAX(0,B96-(G96-Config!$B$17)))</f>
        <v/>
      </c>
      <c r="I96" s="55" t="str">
        <f>IF(OR(B96="",G96=""),"",MAX(0,(B96-(G96-Config!$B$17))/B96))</f>
        <v/>
      </c>
      <c r="J96" s="35"/>
    </row>
    <row r="97" spans="1:10" x14ac:dyDescent="0.3">
      <c r="A97" s="30"/>
      <c r="B97" s="31"/>
      <c r="C97" s="31"/>
      <c r="D97" s="32">
        <f>SUM($C$2:C97)</f>
        <v>-5.5099999999999989</v>
      </c>
      <c r="E97" s="33">
        <f>IF(Config!$B$9&lt;&gt;0,ABS(D97/Config!$B$9),0)</f>
        <v>0.23141537169256612</v>
      </c>
      <c r="F97" s="34" t="str">
        <f t="shared" si="2"/>
        <v>🔴 Vermelho</v>
      </c>
      <c r="G97" s="31"/>
      <c r="H97" s="52" t="str">
        <f>IF(OR(B97="",G97=""),"",MAX(0,B97-(G97-Config!$B$17)))</f>
        <v/>
      </c>
      <c r="I97" s="55" t="str">
        <f>IF(OR(B97="",G97=""),"",MAX(0,(B97-(G97-Config!$B$17))/B97))</f>
        <v/>
      </c>
      <c r="J97" s="35"/>
    </row>
    <row r="98" spans="1:10" x14ac:dyDescent="0.3">
      <c r="A98" s="30"/>
      <c r="B98" s="31"/>
      <c r="C98" s="31"/>
      <c r="D98" s="32">
        <f>SUM($C$2:C98)</f>
        <v>-5.5099999999999989</v>
      </c>
      <c r="E98" s="33">
        <f>IF(Config!$B$9&lt;&gt;0,ABS(D98/Config!$B$9),0)</f>
        <v>0.23141537169256612</v>
      </c>
      <c r="F98" s="34" t="str">
        <f t="shared" ref="F98:F101" si="3">IF(E98&lt;0.3,"🔴 Vermelho",IF(E98&lt;0.6,"🟡 Amarelo","🟢 Verde"))</f>
        <v>🔴 Vermelho</v>
      </c>
      <c r="G98" s="31"/>
      <c r="H98" s="52" t="str">
        <f>IF(OR(B98="",G98=""),"",MAX(0,B98-(G98-Config!$B$17)))</f>
        <v/>
      </c>
      <c r="I98" s="55" t="str">
        <f>IF(OR(B98="",G98=""),"",MAX(0,(B98-(G98-Config!$B$17))/B98))</f>
        <v/>
      </c>
      <c r="J98" s="35"/>
    </row>
    <row r="99" spans="1:10" x14ac:dyDescent="0.3">
      <c r="A99" s="30"/>
      <c r="B99" s="31"/>
      <c r="C99" s="31"/>
      <c r="D99" s="32">
        <f>SUM($C$2:C99)</f>
        <v>-5.5099999999999989</v>
      </c>
      <c r="E99" s="33">
        <f>IF(Config!$B$9&lt;&gt;0,ABS(D99/Config!$B$9),0)</f>
        <v>0.23141537169256612</v>
      </c>
      <c r="F99" s="34" t="str">
        <f t="shared" si="3"/>
        <v>🔴 Vermelho</v>
      </c>
      <c r="G99" s="31"/>
      <c r="H99" s="52" t="str">
        <f>IF(OR(B99="",G99=""),"",MAX(0,B99-(G99-Config!$B$17)))</f>
        <v/>
      </c>
      <c r="I99" s="55" t="str">
        <f>IF(OR(B99="",G99=""),"",MAX(0,(B99-(G99-Config!$B$17))/B99))</f>
        <v/>
      </c>
      <c r="J99" s="35"/>
    </row>
    <row r="100" spans="1:10" x14ac:dyDescent="0.3">
      <c r="A100" s="30"/>
      <c r="B100" s="31"/>
      <c r="C100" s="31"/>
      <c r="D100" s="32">
        <f>SUM($C$2:C100)</f>
        <v>-5.5099999999999989</v>
      </c>
      <c r="E100" s="33">
        <f>IF(Config!$B$9&lt;&gt;0,ABS(D100/Config!$B$9),0)</f>
        <v>0.23141537169256612</v>
      </c>
      <c r="F100" s="34" t="str">
        <f t="shared" si="3"/>
        <v>🔴 Vermelho</v>
      </c>
      <c r="G100" s="31"/>
      <c r="H100" s="52" t="str">
        <f>IF(OR(B100="",G100=""),"",MAX(0,B100-(G100-Config!$B$17)))</f>
        <v/>
      </c>
      <c r="I100" s="55" t="str">
        <f>IF(OR(B100="",G100=""),"",MAX(0,(B100-(G100-Config!$B$17))/B100))</f>
        <v/>
      </c>
      <c r="J100" s="35"/>
    </row>
    <row r="101" spans="1:10" x14ac:dyDescent="0.3">
      <c r="A101" s="30"/>
      <c r="B101" s="31"/>
      <c r="C101" s="31"/>
      <c r="D101" s="32">
        <f>SUM($C$2:C101)</f>
        <v>-5.5099999999999989</v>
      </c>
      <c r="E101" s="33">
        <f>IF(Config!$B$9&lt;&gt;0,ABS(D101/Config!$B$9),0)</f>
        <v>0.23141537169256612</v>
      </c>
      <c r="F101" s="34" t="str">
        <f t="shared" si="3"/>
        <v>🔴 Vermelho</v>
      </c>
      <c r="G101" s="31"/>
      <c r="H101" s="52" t="str">
        <f>IF(OR(B101="",G101=""),"",MAX(0,B101-(G101-Config!$B$17)))</f>
        <v/>
      </c>
      <c r="I101" s="55" t="str">
        <f>IF(OR(B101="",G101=""),"",MAX(0,(B101-(G101-Config!$B$17))/B101))</f>
        <v/>
      </c>
      <c r="J101" s="35"/>
    </row>
    <row r="104" spans="1:10" x14ac:dyDescent="0.3">
      <c r="A104" s="1" t="s">
        <v>19</v>
      </c>
    </row>
    <row r="105" spans="1:10" x14ac:dyDescent="0.3">
      <c r="A105" s="23" t="s">
        <v>20</v>
      </c>
    </row>
    <row r="106" spans="1:10" x14ac:dyDescent="0.3">
      <c r="A106" s="23" t="s">
        <v>21</v>
      </c>
    </row>
  </sheetData>
  <sheetProtection sheet="1"/>
  <mergeCells count="1">
    <mergeCell ref="L1:N1"/>
  </mergeCells>
  <conditionalFormatting sqref="M3">
    <cfRule type="cellIs" dxfId="11" priority="1" operator="lessThan">
      <formula>1</formula>
    </cfRule>
    <cfRule type="cellIs" dxfId="10" priority="2" operator="between">
      <formula>1</formula>
      <formula>2</formula>
    </cfRule>
    <cfRule type="cellIs" dxfId="9" priority="3" operator="greaterThanOrEqual">
      <formula>2</formula>
    </cfRule>
  </conditionalFormatting>
  <conditionalFormatting sqref="M4">
    <cfRule type="cellIs" dxfId="8" priority="4" operator="greaterThan">
      <formula>10%</formula>
    </cfRule>
    <cfRule type="cellIs" dxfId="7" priority="5" operator="between">
      <formula>5%</formula>
      <formula>10%</formula>
    </cfRule>
    <cfRule type="cellIs" dxfId="6" priority="6" operator="lessThanOrEqual">
      <formula>5%</formula>
    </cfRule>
  </conditionalFormatting>
  <conditionalFormatting sqref="M5">
    <cfRule type="cellIs" dxfId="5" priority="7" operator="lessThan">
      <formula>0.5</formula>
    </cfRule>
    <cfRule type="cellIs" dxfId="4" priority="8" operator="between">
      <formula>0.5</formula>
      <formula>1.5</formula>
    </cfRule>
    <cfRule type="cellIs" dxfId="3" priority="9" operator="greaterThanOrEqual">
      <formula>1.5</formula>
    </cfRule>
  </conditionalFormatting>
  <conditionalFormatting sqref="M7">
    <cfRule type="expression" dxfId="2" priority="10">
      <formula>ISNUMBER(SEARCH("Elevado",$M$7))</formula>
    </cfRule>
    <cfRule type="expression" dxfId="1" priority="11">
      <formula>ISNUMBER(SEARCH("Moderado",$M$7))</formula>
    </cfRule>
    <cfRule type="expression" dxfId="0" priority="12">
      <formula>ISNUMBER(SEARCH("Controlado",$M$7))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showGridLines="0" workbookViewId="0">
      <selection activeCell="I18" sqref="I18"/>
    </sheetView>
  </sheetViews>
  <sheetFormatPr defaultColWidth="11.33203125" defaultRowHeight="14.4" x14ac:dyDescent="0.3"/>
  <cols>
    <col min="1" max="1" width="15.6640625" bestFit="1" customWidth="1"/>
    <col min="2" max="2" width="13.88671875" bestFit="1" customWidth="1"/>
    <col min="3" max="3" width="12.77734375" bestFit="1" customWidth="1"/>
    <col min="4" max="4" width="16.21875" bestFit="1" customWidth="1"/>
    <col min="5" max="5" width="9.6640625" bestFit="1" customWidth="1"/>
    <col min="6" max="6" width="17.6640625" bestFit="1" customWidth="1"/>
    <col min="7" max="7" width="10.77734375" customWidth="1"/>
    <col min="8" max="8" width="12.88671875" customWidth="1"/>
  </cols>
  <sheetData>
    <row r="1" spans="1:8" ht="18" customHeight="1" x14ac:dyDescent="0.35">
      <c r="A1" s="72" t="s">
        <v>372</v>
      </c>
      <c r="B1" s="64"/>
      <c r="C1" s="64"/>
      <c r="D1" s="64"/>
      <c r="E1" s="64"/>
      <c r="F1" s="64"/>
      <c r="G1" s="64"/>
      <c r="H1" s="64"/>
    </row>
    <row r="3" spans="1:8" x14ac:dyDescent="0.3">
      <c r="A3" s="3" t="s">
        <v>373</v>
      </c>
      <c r="B3" s="3" t="s">
        <v>1</v>
      </c>
      <c r="C3" s="3" t="s">
        <v>340</v>
      </c>
      <c r="D3" s="3" t="s">
        <v>374</v>
      </c>
      <c r="E3" s="3" t="s">
        <v>375</v>
      </c>
      <c r="F3" s="3" t="s">
        <v>343</v>
      </c>
      <c r="G3" s="3" t="s">
        <v>376</v>
      </c>
      <c r="H3" s="3" t="s">
        <v>377</v>
      </c>
    </row>
    <row r="4" spans="1:8" x14ac:dyDescent="0.3">
      <c r="A4" s="51">
        <v>46083</v>
      </c>
      <c r="B4" s="31">
        <v>202.66</v>
      </c>
      <c r="C4" s="31">
        <v>216.75</v>
      </c>
      <c r="D4" s="32">
        <f t="shared" ref="D4:D35" si="0">IF(OR(B4="",C4=""),"",C4-B4)</f>
        <v>14.090000000000003</v>
      </c>
      <c r="E4" s="33">
        <f t="shared" ref="E4:E35" si="1">IF(B4&gt;0,D4/B4,"")</f>
        <v>6.9525313332675434E-2</v>
      </c>
      <c r="F4" s="36"/>
      <c r="G4" s="30" t="s">
        <v>148</v>
      </c>
      <c r="H4" s="34" t="str">
        <f t="shared" ref="H4:H35" si="2">IF(OR(E4="",F4=""),"",IF(OR(F4&gt;0.08,G4="Sim"),"🔴 Rever",IF(E4&lt;0,"🟡 Atenção","🟢 Saudável")))</f>
        <v/>
      </c>
    </row>
    <row r="5" spans="1:8" x14ac:dyDescent="0.3">
      <c r="A5" s="51">
        <v>46090</v>
      </c>
      <c r="B5" s="31">
        <v>216.75</v>
      </c>
      <c r="C5" s="31">
        <v>197.15</v>
      </c>
      <c r="D5" s="32">
        <f t="shared" si="0"/>
        <v>-19.599999999999994</v>
      </c>
      <c r="E5" s="33">
        <f t="shared" si="1"/>
        <v>-9.0426758938869645E-2</v>
      </c>
      <c r="F5" s="36">
        <v>6.0000000000000001E-3</v>
      </c>
      <c r="G5" s="30" t="s">
        <v>135</v>
      </c>
      <c r="H5" s="34" t="str">
        <f t="shared" si="2"/>
        <v>🔴 Rever</v>
      </c>
    </row>
    <row r="6" spans="1:8" x14ac:dyDescent="0.3">
      <c r="A6" s="30"/>
      <c r="B6" s="31"/>
      <c r="C6" s="31"/>
      <c r="D6" s="32" t="str">
        <f t="shared" si="0"/>
        <v/>
      </c>
      <c r="E6" s="33" t="str">
        <f t="shared" si="1"/>
        <v/>
      </c>
      <c r="F6" s="36"/>
      <c r="G6" s="30"/>
      <c r="H6" s="34" t="str">
        <f t="shared" si="2"/>
        <v/>
      </c>
    </row>
    <row r="7" spans="1:8" x14ac:dyDescent="0.3">
      <c r="A7" s="30"/>
      <c r="B7" s="31"/>
      <c r="C7" s="31"/>
      <c r="D7" s="32" t="str">
        <f t="shared" si="0"/>
        <v/>
      </c>
      <c r="E7" s="33" t="str">
        <f t="shared" si="1"/>
        <v/>
      </c>
      <c r="F7" s="36"/>
      <c r="G7" s="30"/>
      <c r="H7" s="34" t="str">
        <f t="shared" si="2"/>
        <v/>
      </c>
    </row>
    <row r="8" spans="1:8" x14ac:dyDescent="0.3">
      <c r="A8" s="30"/>
      <c r="B8" s="31"/>
      <c r="C8" s="31"/>
      <c r="D8" s="32" t="str">
        <f t="shared" si="0"/>
        <v/>
      </c>
      <c r="E8" s="33" t="str">
        <f t="shared" si="1"/>
        <v/>
      </c>
      <c r="F8" s="36"/>
      <c r="G8" s="30"/>
      <c r="H8" s="34" t="str">
        <f t="shared" si="2"/>
        <v/>
      </c>
    </row>
    <row r="9" spans="1:8" x14ac:dyDescent="0.3">
      <c r="A9" s="30"/>
      <c r="B9" s="31"/>
      <c r="C9" s="31"/>
      <c r="D9" s="32" t="str">
        <f t="shared" si="0"/>
        <v/>
      </c>
      <c r="E9" s="33" t="str">
        <f t="shared" si="1"/>
        <v/>
      </c>
      <c r="F9" s="36"/>
      <c r="G9" s="30"/>
      <c r="H9" s="34" t="str">
        <f t="shared" si="2"/>
        <v/>
      </c>
    </row>
    <row r="10" spans="1:8" x14ac:dyDescent="0.3">
      <c r="A10" s="30"/>
      <c r="B10" s="31"/>
      <c r="C10" s="31"/>
      <c r="D10" s="32" t="str">
        <f t="shared" si="0"/>
        <v/>
      </c>
      <c r="E10" s="33" t="str">
        <f t="shared" si="1"/>
        <v/>
      </c>
      <c r="F10" s="36"/>
      <c r="G10" s="30"/>
      <c r="H10" s="34" t="str">
        <f t="shared" si="2"/>
        <v/>
      </c>
    </row>
    <row r="11" spans="1:8" x14ac:dyDescent="0.3">
      <c r="A11" s="30"/>
      <c r="B11" s="31"/>
      <c r="C11" s="31"/>
      <c r="D11" s="32" t="str">
        <f t="shared" si="0"/>
        <v/>
      </c>
      <c r="E11" s="33" t="str">
        <f t="shared" si="1"/>
        <v/>
      </c>
      <c r="F11" s="36"/>
      <c r="G11" s="30"/>
      <c r="H11" s="34" t="str">
        <f t="shared" si="2"/>
        <v/>
      </c>
    </row>
    <row r="12" spans="1:8" x14ac:dyDescent="0.3">
      <c r="A12" s="30"/>
      <c r="B12" s="31"/>
      <c r="C12" s="31"/>
      <c r="D12" s="32" t="str">
        <f t="shared" si="0"/>
        <v/>
      </c>
      <c r="E12" s="33" t="str">
        <f t="shared" si="1"/>
        <v/>
      </c>
      <c r="F12" s="36"/>
      <c r="G12" s="30"/>
      <c r="H12" s="34" t="str">
        <f t="shared" si="2"/>
        <v/>
      </c>
    </row>
    <row r="13" spans="1:8" x14ac:dyDescent="0.3">
      <c r="A13" s="30"/>
      <c r="B13" s="31"/>
      <c r="C13" s="31"/>
      <c r="D13" s="32" t="str">
        <f t="shared" si="0"/>
        <v/>
      </c>
      <c r="E13" s="33" t="str">
        <f t="shared" si="1"/>
        <v/>
      </c>
      <c r="F13" s="36"/>
      <c r="G13" s="30"/>
      <c r="H13" s="34" t="str">
        <f t="shared" si="2"/>
        <v/>
      </c>
    </row>
    <row r="14" spans="1:8" x14ac:dyDescent="0.3">
      <c r="A14" s="30"/>
      <c r="B14" s="31"/>
      <c r="C14" s="31"/>
      <c r="D14" s="32" t="str">
        <f t="shared" si="0"/>
        <v/>
      </c>
      <c r="E14" s="33" t="str">
        <f t="shared" si="1"/>
        <v/>
      </c>
      <c r="F14" s="36"/>
      <c r="G14" s="30"/>
      <c r="H14" s="34" t="str">
        <f t="shared" si="2"/>
        <v/>
      </c>
    </row>
    <row r="15" spans="1:8" x14ac:dyDescent="0.3">
      <c r="A15" s="30"/>
      <c r="B15" s="31"/>
      <c r="C15" s="31"/>
      <c r="D15" s="32" t="str">
        <f t="shared" si="0"/>
        <v/>
      </c>
      <c r="E15" s="33" t="str">
        <f t="shared" si="1"/>
        <v/>
      </c>
      <c r="F15" s="36"/>
      <c r="G15" s="30"/>
      <c r="H15" s="34" t="str">
        <f t="shared" si="2"/>
        <v/>
      </c>
    </row>
    <row r="16" spans="1:8" x14ac:dyDescent="0.3">
      <c r="A16" s="30"/>
      <c r="B16" s="31"/>
      <c r="C16" s="31"/>
      <c r="D16" s="32" t="str">
        <f t="shared" si="0"/>
        <v/>
      </c>
      <c r="E16" s="33" t="str">
        <f t="shared" si="1"/>
        <v/>
      </c>
      <c r="F16" s="36"/>
      <c r="G16" s="30"/>
      <c r="H16" s="34" t="str">
        <f t="shared" si="2"/>
        <v/>
      </c>
    </row>
    <row r="17" spans="1:8" x14ac:dyDescent="0.3">
      <c r="A17" s="30"/>
      <c r="B17" s="31"/>
      <c r="C17" s="31"/>
      <c r="D17" s="32" t="str">
        <f t="shared" si="0"/>
        <v/>
      </c>
      <c r="E17" s="33" t="str">
        <f t="shared" si="1"/>
        <v/>
      </c>
      <c r="F17" s="36"/>
      <c r="G17" s="30"/>
      <c r="H17" s="34" t="str">
        <f t="shared" si="2"/>
        <v/>
      </c>
    </row>
    <row r="18" spans="1:8" x14ac:dyDescent="0.3">
      <c r="A18" s="30"/>
      <c r="B18" s="31"/>
      <c r="C18" s="31"/>
      <c r="D18" s="32" t="str">
        <f t="shared" si="0"/>
        <v/>
      </c>
      <c r="E18" s="33" t="str">
        <f t="shared" si="1"/>
        <v/>
      </c>
      <c r="F18" s="36"/>
      <c r="G18" s="30"/>
      <c r="H18" s="34" t="str">
        <f t="shared" si="2"/>
        <v/>
      </c>
    </row>
    <row r="19" spans="1:8" x14ac:dyDescent="0.3">
      <c r="A19" s="30"/>
      <c r="B19" s="31"/>
      <c r="C19" s="31"/>
      <c r="D19" s="32" t="str">
        <f t="shared" si="0"/>
        <v/>
      </c>
      <c r="E19" s="33" t="str">
        <f t="shared" si="1"/>
        <v/>
      </c>
      <c r="F19" s="36"/>
      <c r="G19" s="30"/>
      <c r="H19" s="34" t="str">
        <f t="shared" si="2"/>
        <v/>
      </c>
    </row>
    <row r="20" spans="1:8" x14ac:dyDescent="0.3">
      <c r="A20" s="30"/>
      <c r="B20" s="31"/>
      <c r="C20" s="31"/>
      <c r="D20" s="32" t="str">
        <f t="shared" si="0"/>
        <v/>
      </c>
      <c r="E20" s="33" t="str">
        <f t="shared" si="1"/>
        <v/>
      </c>
      <c r="F20" s="36"/>
      <c r="G20" s="30"/>
      <c r="H20" s="34" t="str">
        <f t="shared" si="2"/>
        <v/>
      </c>
    </row>
    <row r="21" spans="1:8" x14ac:dyDescent="0.3">
      <c r="A21" s="30"/>
      <c r="B21" s="31"/>
      <c r="C21" s="31"/>
      <c r="D21" s="32" t="str">
        <f t="shared" si="0"/>
        <v/>
      </c>
      <c r="E21" s="33" t="str">
        <f t="shared" si="1"/>
        <v/>
      </c>
      <c r="F21" s="36"/>
      <c r="G21" s="30"/>
      <c r="H21" s="34" t="str">
        <f t="shared" si="2"/>
        <v/>
      </c>
    </row>
    <row r="22" spans="1:8" x14ac:dyDescent="0.3">
      <c r="A22" s="30"/>
      <c r="B22" s="31"/>
      <c r="C22" s="31"/>
      <c r="D22" s="32" t="str">
        <f t="shared" si="0"/>
        <v/>
      </c>
      <c r="E22" s="33" t="str">
        <f t="shared" si="1"/>
        <v/>
      </c>
      <c r="F22" s="36"/>
      <c r="G22" s="30"/>
      <c r="H22" s="34" t="str">
        <f t="shared" si="2"/>
        <v/>
      </c>
    </row>
    <row r="23" spans="1:8" x14ac:dyDescent="0.3">
      <c r="A23" s="30"/>
      <c r="B23" s="31"/>
      <c r="C23" s="31"/>
      <c r="D23" s="32" t="str">
        <f t="shared" si="0"/>
        <v/>
      </c>
      <c r="E23" s="33" t="str">
        <f t="shared" si="1"/>
        <v/>
      </c>
      <c r="F23" s="36"/>
      <c r="G23" s="30"/>
      <c r="H23" s="34" t="str">
        <f t="shared" si="2"/>
        <v/>
      </c>
    </row>
    <row r="24" spans="1:8" x14ac:dyDescent="0.3">
      <c r="A24" s="30"/>
      <c r="B24" s="31"/>
      <c r="C24" s="31"/>
      <c r="D24" s="32" t="str">
        <f t="shared" si="0"/>
        <v/>
      </c>
      <c r="E24" s="33" t="str">
        <f t="shared" si="1"/>
        <v/>
      </c>
      <c r="F24" s="36"/>
      <c r="G24" s="30"/>
      <c r="H24" s="34" t="str">
        <f t="shared" si="2"/>
        <v/>
      </c>
    </row>
    <row r="25" spans="1:8" x14ac:dyDescent="0.3">
      <c r="A25" s="30"/>
      <c r="B25" s="31"/>
      <c r="C25" s="31"/>
      <c r="D25" s="32" t="str">
        <f t="shared" si="0"/>
        <v/>
      </c>
      <c r="E25" s="33" t="str">
        <f t="shared" si="1"/>
        <v/>
      </c>
      <c r="F25" s="36"/>
      <c r="G25" s="30"/>
      <c r="H25" s="34" t="str">
        <f t="shared" si="2"/>
        <v/>
      </c>
    </row>
    <row r="26" spans="1:8" x14ac:dyDescent="0.3">
      <c r="A26" s="30"/>
      <c r="B26" s="31"/>
      <c r="C26" s="31"/>
      <c r="D26" s="32" t="str">
        <f t="shared" si="0"/>
        <v/>
      </c>
      <c r="E26" s="33" t="str">
        <f t="shared" si="1"/>
        <v/>
      </c>
      <c r="F26" s="36"/>
      <c r="G26" s="30"/>
      <c r="H26" s="34" t="str">
        <f t="shared" si="2"/>
        <v/>
      </c>
    </row>
    <row r="27" spans="1:8" x14ac:dyDescent="0.3">
      <c r="A27" s="30"/>
      <c r="B27" s="31"/>
      <c r="C27" s="31"/>
      <c r="D27" s="32" t="str">
        <f t="shared" si="0"/>
        <v/>
      </c>
      <c r="E27" s="33" t="str">
        <f t="shared" si="1"/>
        <v/>
      </c>
      <c r="F27" s="36"/>
      <c r="G27" s="30"/>
      <c r="H27" s="34" t="str">
        <f t="shared" si="2"/>
        <v/>
      </c>
    </row>
    <row r="28" spans="1:8" x14ac:dyDescent="0.3">
      <c r="A28" s="30"/>
      <c r="B28" s="31"/>
      <c r="C28" s="31"/>
      <c r="D28" s="32" t="str">
        <f t="shared" si="0"/>
        <v/>
      </c>
      <c r="E28" s="33" t="str">
        <f t="shared" si="1"/>
        <v/>
      </c>
      <c r="F28" s="36"/>
      <c r="G28" s="30"/>
      <c r="H28" s="34" t="str">
        <f t="shared" si="2"/>
        <v/>
      </c>
    </row>
    <row r="29" spans="1:8" x14ac:dyDescent="0.3">
      <c r="A29" s="30"/>
      <c r="B29" s="31"/>
      <c r="C29" s="31"/>
      <c r="D29" s="32" t="str">
        <f t="shared" si="0"/>
        <v/>
      </c>
      <c r="E29" s="33" t="str">
        <f t="shared" si="1"/>
        <v/>
      </c>
      <c r="F29" s="36"/>
      <c r="G29" s="30"/>
      <c r="H29" s="34" t="str">
        <f t="shared" si="2"/>
        <v/>
      </c>
    </row>
    <row r="30" spans="1:8" x14ac:dyDescent="0.3">
      <c r="A30" s="30"/>
      <c r="B30" s="31"/>
      <c r="C30" s="31"/>
      <c r="D30" s="32" t="str">
        <f t="shared" si="0"/>
        <v/>
      </c>
      <c r="E30" s="33" t="str">
        <f t="shared" si="1"/>
        <v/>
      </c>
      <c r="F30" s="36"/>
      <c r="G30" s="30"/>
      <c r="H30" s="34" t="str">
        <f t="shared" si="2"/>
        <v/>
      </c>
    </row>
    <row r="31" spans="1:8" x14ac:dyDescent="0.3">
      <c r="A31" s="30"/>
      <c r="B31" s="31"/>
      <c r="C31" s="31"/>
      <c r="D31" s="32" t="str">
        <f t="shared" si="0"/>
        <v/>
      </c>
      <c r="E31" s="33" t="str">
        <f t="shared" si="1"/>
        <v/>
      </c>
      <c r="F31" s="36"/>
      <c r="G31" s="30"/>
      <c r="H31" s="34" t="str">
        <f t="shared" si="2"/>
        <v/>
      </c>
    </row>
    <row r="32" spans="1:8" x14ac:dyDescent="0.3">
      <c r="A32" s="30"/>
      <c r="B32" s="31"/>
      <c r="C32" s="31"/>
      <c r="D32" s="32" t="str">
        <f t="shared" si="0"/>
        <v/>
      </c>
      <c r="E32" s="33" t="str">
        <f t="shared" si="1"/>
        <v/>
      </c>
      <c r="F32" s="36"/>
      <c r="G32" s="30"/>
      <c r="H32" s="34" t="str">
        <f t="shared" si="2"/>
        <v/>
      </c>
    </row>
    <row r="33" spans="1:8" x14ac:dyDescent="0.3">
      <c r="A33" s="30"/>
      <c r="B33" s="31"/>
      <c r="C33" s="31"/>
      <c r="D33" s="32" t="str">
        <f t="shared" si="0"/>
        <v/>
      </c>
      <c r="E33" s="33" t="str">
        <f t="shared" si="1"/>
        <v/>
      </c>
      <c r="F33" s="36"/>
      <c r="G33" s="30"/>
      <c r="H33" s="34" t="str">
        <f t="shared" si="2"/>
        <v/>
      </c>
    </row>
    <row r="34" spans="1:8" x14ac:dyDescent="0.3">
      <c r="A34" s="30"/>
      <c r="B34" s="31"/>
      <c r="C34" s="31"/>
      <c r="D34" s="32" t="str">
        <f t="shared" si="0"/>
        <v/>
      </c>
      <c r="E34" s="33" t="str">
        <f t="shared" si="1"/>
        <v/>
      </c>
      <c r="F34" s="36"/>
      <c r="G34" s="30"/>
      <c r="H34" s="34" t="str">
        <f t="shared" si="2"/>
        <v/>
      </c>
    </row>
    <row r="35" spans="1:8" x14ac:dyDescent="0.3">
      <c r="A35" s="30"/>
      <c r="B35" s="31"/>
      <c r="C35" s="31"/>
      <c r="D35" s="32" t="str">
        <f t="shared" si="0"/>
        <v/>
      </c>
      <c r="E35" s="33" t="str">
        <f t="shared" si="1"/>
        <v/>
      </c>
      <c r="F35" s="36"/>
      <c r="G35" s="30"/>
      <c r="H35" s="34" t="str">
        <f t="shared" si="2"/>
        <v/>
      </c>
    </row>
    <row r="36" spans="1:8" x14ac:dyDescent="0.3">
      <c r="A36" s="30"/>
      <c r="B36" s="31"/>
      <c r="C36" s="31"/>
      <c r="D36" s="32" t="str">
        <f t="shared" ref="D36:D55" si="3">IF(OR(B36="",C36=""),"",C36-B36)</f>
        <v/>
      </c>
      <c r="E36" s="33" t="str">
        <f t="shared" ref="E36:E55" si="4">IF(B36&gt;0,D36/B36,"")</f>
        <v/>
      </c>
      <c r="F36" s="36"/>
      <c r="G36" s="30"/>
      <c r="H36" s="34" t="str">
        <f t="shared" ref="H36:H55" si="5">IF(OR(E36="",F36=""),"",IF(OR(F36&gt;0.08,G36="Sim"),"🔴 Rever",IF(E36&lt;0,"🟡 Atenção","🟢 Saudável")))</f>
        <v/>
      </c>
    </row>
    <row r="37" spans="1:8" x14ac:dyDescent="0.3">
      <c r="A37" s="30"/>
      <c r="B37" s="31"/>
      <c r="C37" s="31"/>
      <c r="D37" s="32" t="str">
        <f t="shared" si="3"/>
        <v/>
      </c>
      <c r="E37" s="33" t="str">
        <f t="shared" si="4"/>
        <v/>
      </c>
      <c r="F37" s="36"/>
      <c r="G37" s="30"/>
      <c r="H37" s="34" t="str">
        <f t="shared" si="5"/>
        <v/>
      </c>
    </row>
    <row r="38" spans="1:8" x14ac:dyDescent="0.3">
      <c r="A38" s="30"/>
      <c r="B38" s="31"/>
      <c r="C38" s="31"/>
      <c r="D38" s="32" t="str">
        <f t="shared" si="3"/>
        <v/>
      </c>
      <c r="E38" s="33" t="str">
        <f t="shared" si="4"/>
        <v/>
      </c>
      <c r="F38" s="36"/>
      <c r="G38" s="30"/>
      <c r="H38" s="34" t="str">
        <f t="shared" si="5"/>
        <v/>
      </c>
    </row>
    <row r="39" spans="1:8" x14ac:dyDescent="0.3">
      <c r="A39" s="30"/>
      <c r="B39" s="31"/>
      <c r="C39" s="31"/>
      <c r="D39" s="32" t="str">
        <f t="shared" si="3"/>
        <v/>
      </c>
      <c r="E39" s="33" t="str">
        <f t="shared" si="4"/>
        <v/>
      </c>
      <c r="F39" s="36"/>
      <c r="G39" s="30"/>
      <c r="H39" s="34" t="str">
        <f t="shared" si="5"/>
        <v/>
      </c>
    </row>
    <row r="40" spans="1:8" x14ac:dyDescent="0.3">
      <c r="A40" s="30"/>
      <c r="B40" s="31"/>
      <c r="C40" s="31"/>
      <c r="D40" s="32" t="str">
        <f t="shared" si="3"/>
        <v/>
      </c>
      <c r="E40" s="33" t="str">
        <f t="shared" si="4"/>
        <v/>
      </c>
      <c r="F40" s="36"/>
      <c r="G40" s="30"/>
      <c r="H40" s="34" t="str">
        <f t="shared" si="5"/>
        <v/>
      </c>
    </row>
    <row r="41" spans="1:8" x14ac:dyDescent="0.3">
      <c r="A41" s="30"/>
      <c r="B41" s="31"/>
      <c r="C41" s="31"/>
      <c r="D41" s="32" t="str">
        <f t="shared" si="3"/>
        <v/>
      </c>
      <c r="E41" s="33" t="str">
        <f t="shared" si="4"/>
        <v/>
      </c>
      <c r="F41" s="36"/>
      <c r="G41" s="30"/>
      <c r="H41" s="34" t="str">
        <f t="shared" si="5"/>
        <v/>
      </c>
    </row>
    <row r="42" spans="1:8" x14ac:dyDescent="0.3">
      <c r="A42" s="30"/>
      <c r="B42" s="31"/>
      <c r="C42" s="31"/>
      <c r="D42" s="32" t="str">
        <f t="shared" si="3"/>
        <v/>
      </c>
      <c r="E42" s="33" t="str">
        <f t="shared" si="4"/>
        <v/>
      </c>
      <c r="F42" s="36"/>
      <c r="G42" s="30"/>
      <c r="H42" s="34" t="str">
        <f t="shared" si="5"/>
        <v/>
      </c>
    </row>
    <row r="43" spans="1:8" x14ac:dyDescent="0.3">
      <c r="A43" s="30"/>
      <c r="B43" s="31"/>
      <c r="C43" s="31"/>
      <c r="D43" s="32" t="str">
        <f t="shared" si="3"/>
        <v/>
      </c>
      <c r="E43" s="33" t="str">
        <f t="shared" si="4"/>
        <v/>
      </c>
      <c r="F43" s="36"/>
      <c r="G43" s="30"/>
      <c r="H43" s="34" t="str">
        <f t="shared" si="5"/>
        <v/>
      </c>
    </row>
    <row r="44" spans="1:8" x14ac:dyDescent="0.3">
      <c r="A44" s="30"/>
      <c r="B44" s="31"/>
      <c r="C44" s="31"/>
      <c r="D44" s="32" t="str">
        <f t="shared" si="3"/>
        <v/>
      </c>
      <c r="E44" s="33" t="str">
        <f t="shared" si="4"/>
        <v/>
      </c>
      <c r="F44" s="36"/>
      <c r="G44" s="30"/>
      <c r="H44" s="34" t="str">
        <f t="shared" si="5"/>
        <v/>
      </c>
    </row>
    <row r="45" spans="1:8" x14ac:dyDescent="0.3">
      <c r="A45" s="30"/>
      <c r="B45" s="31"/>
      <c r="C45" s="31"/>
      <c r="D45" s="32" t="str">
        <f t="shared" si="3"/>
        <v/>
      </c>
      <c r="E45" s="33" t="str">
        <f t="shared" si="4"/>
        <v/>
      </c>
      <c r="F45" s="36"/>
      <c r="G45" s="30"/>
      <c r="H45" s="34" t="str">
        <f t="shared" si="5"/>
        <v/>
      </c>
    </row>
    <row r="46" spans="1:8" x14ac:dyDescent="0.3">
      <c r="A46" s="30"/>
      <c r="B46" s="31"/>
      <c r="C46" s="31"/>
      <c r="D46" s="32" t="str">
        <f t="shared" si="3"/>
        <v/>
      </c>
      <c r="E46" s="33" t="str">
        <f t="shared" si="4"/>
        <v/>
      </c>
      <c r="F46" s="36"/>
      <c r="G46" s="30"/>
      <c r="H46" s="34" t="str">
        <f t="shared" si="5"/>
        <v/>
      </c>
    </row>
    <row r="47" spans="1:8" x14ac:dyDescent="0.3">
      <c r="A47" s="30"/>
      <c r="B47" s="31"/>
      <c r="C47" s="31"/>
      <c r="D47" s="32" t="str">
        <f t="shared" si="3"/>
        <v/>
      </c>
      <c r="E47" s="33" t="str">
        <f t="shared" si="4"/>
        <v/>
      </c>
      <c r="F47" s="36"/>
      <c r="G47" s="30"/>
      <c r="H47" s="34" t="str">
        <f t="shared" si="5"/>
        <v/>
      </c>
    </row>
    <row r="48" spans="1:8" x14ac:dyDescent="0.3">
      <c r="A48" s="30"/>
      <c r="B48" s="31"/>
      <c r="C48" s="31"/>
      <c r="D48" s="32" t="str">
        <f t="shared" si="3"/>
        <v/>
      </c>
      <c r="E48" s="33" t="str">
        <f t="shared" si="4"/>
        <v/>
      </c>
      <c r="F48" s="36"/>
      <c r="G48" s="30"/>
      <c r="H48" s="34" t="str">
        <f t="shared" si="5"/>
        <v/>
      </c>
    </row>
    <row r="49" spans="1:8" x14ac:dyDescent="0.3">
      <c r="A49" s="30"/>
      <c r="B49" s="31"/>
      <c r="C49" s="31"/>
      <c r="D49" s="32" t="str">
        <f t="shared" si="3"/>
        <v/>
      </c>
      <c r="E49" s="33" t="str">
        <f t="shared" si="4"/>
        <v/>
      </c>
      <c r="F49" s="36"/>
      <c r="G49" s="30"/>
      <c r="H49" s="34" t="str">
        <f t="shared" si="5"/>
        <v/>
      </c>
    </row>
    <row r="50" spans="1:8" x14ac:dyDescent="0.3">
      <c r="A50" s="30"/>
      <c r="B50" s="31"/>
      <c r="C50" s="31"/>
      <c r="D50" s="32" t="str">
        <f t="shared" si="3"/>
        <v/>
      </c>
      <c r="E50" s="33" t="str">
        <f t="shared" si="4"/>
        <v/>
      </c>
      <c r="F50" s="36"/>
      <c r="G50" s="30"/>
      <c r="H50" s="34" t="str">
        <f t="shared" si="5"/>
        <v/>
      </c>
    </row>
    <row r="51" spans="1:8" x14ac:dyDescent="0.3">
      <c r="A51" s="30"/>
      <c r="B51" s="31"/>
      <c r="C51" s="31"/>
      <c r="D51" s="32" t="str">
        <f t="shared" si="3"/>
        <v/>
      </c>
      <c r="E51" s="33" t="str">
        <f t="shared" si="4"/>
        <v/>
      </c>
      <c r="F51" s="36"/>
      <c r="G51" s="30"/>
      <c r="H51" s="34" t="str">
        <f t="shared" si="5"/>
        <v/>
      </c>
    </row>
    <row r="52" spans="1:8" x14ac:dyDescent="0.3">
      <c r="A52" s="30"/>
      <c r="B52" s="31"/>
      <c r="C52" s="31"/>
      <c r="D52" s="32" t="str">
        <f t="shared" si="3"/>
        <v/>
      </c>
      <c r="E52" s="33" t="str">
        <f t="shared" si="4"/>
        <v/>
      </c>
      <c r="F52" s="36"/>
      <c r="G52" s="30"/>
      <c r="H52" s="34" t="str">
        <f t="shared" si="5"/>
        <v/>
      </c>
    </row>
    <row r="53" spans="1:8" x14ac:dyDescent="0.3">
      <c r="A53" s="30"/>
      <c r="B53" s="31"/>
      <c r="C53" s="31"/>
      <c r="D53" s="32" t="str">
        <f t="shared" si="3"/>
        <v/>
      </c>
      <c r="E53" s="33" t="str">
        <f t="shared" si="4"/>
        <v/>
      </c>
      <c r="F53" s="36"/>
      <c r="G53" s="30"/>
      <c r="H53" s="34" t="str">
        <f t="shared" si="5"/>
        <v/>
      </c>
    </row>
    <row r="54" spans="1:8" x14ac:dyDescent="0.3">
      <c r="A54" s="30"/>
      <c r="B54" s="31"/>
      <c r="C54" s="31"/>
      <c r="D54" s="32" t="str">
        <f t="shared" si="3"/>
        <v/>
      </c>
      <c r="E54" s="33" t="str">
        <f t="shared" si="4"/>
        <v/>
      </c>
      <c r="F54" s="36"/>
      <c r="G54" s="30"/>
      <c r="H54" s="34" t="str">
        <f t="shared" si="5"/>
        <v/>
      </c>
    </row>
    <row r="55" spans="1:8" x14ac:dyDescent="0.3">
      <c r="A55" s="30"/>
      <c r="B55" s="31"/>
      <c r="C55" s="31"/>
      <c r="D55" s="32" t="str">
        <f t="shared" si="3"/>
        <v/>
      </c>
      <c r="E55" s="33" t="str">
        <f t="shared" si="4"/>
        <v/>
      </c>
      <c r="F55" s="36"/>
      <c r="G55" s="30"/>
      <c r="H55" s="34" t="str">
        <f t="shared" si="5"/>
        <v/>
      </c>
    </row>
  </sheetData>
  <sheetProtection sheet="1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showGridLines="0" workbookViewId="0">
      <selection activeCell="D4" sqref="D4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5" width="16" customWidth="1"/>
    <col min="6" max="6" width="14" customWidth="1"/>
    <col min="7" max="8" width="16" customWidth="1"/>
    <col min="9" max="9" width="18" customWidth="1"/>
    <col min="10" max="10" width="28" customWidth="1"/>
  </cols>
  <sheetData>
    <row r="1" spans="1:10" ht="18" customHeight="1" x14ac:dyDescent="0.35">
      <c r="A1" s="72" t="s">
        <v>336</v>
      </c>
      <c r="B1" s="64"/>
      <c r="C1" s="64"/>
      <c r="D1" s="64"/>
      <c r="E1" s="64"/>
      <c r="F1" s="64"/>
      <c r="G1" s="64"/>
      <c r="H1" s="64"/>
      <c r="I1" s="64"/>
      <c r="J1" s="64"/>
    </row>
    <row r="3" spans="1:10" x14ac:dyDescent="0.3">
      <c r="A3" s="3" t="s">
        <v>337</v>
      </c>
      <c r="B3" s="3" t="s">
        <v>1</v>
      </c>
      <c r="C3" s="3" t="s">
        <v>338</v>
      </c>
      <c r="D3" s="3" t="s">
        <v>339</v>
      </c>
      <c r="E3" s="3" t="s">
        <v>340</v>
      </c>
      <c r="F3" s="3" t="s">
        <v>341</v>
      </c>
      <c r="G3" s="3" t="s">
        <v>342</v>
      </c>
      <c r="H3" s="3" t="s">
        <v>343</v>
      </c>
      <c r="I3" s="3" t="s">
        <v>344</v>
      </c>
      <c r="J3" s="3" t="s">
        <v>9</v>
      </c>
    </row>
    <row r="4" spans="1:10" x14ac:dyDescent="0.3">
      <c r="A4" s="53">
        <v>46082</v>
      </c>
      <c r="B4" s="13">
        <v>202.66</v>
      </c>
      <c r="C4" s="13">
        <v>0</v>
      </c>
      <c r="D4" s="13"/>
      <c r="E4" s="14">
        <f t="shared" ref="E4:E15" si="0">B4+C4+D4</f>
        <v>202.66</v>
      </c>
      <c r="F4" s="15">
        <f t="shared" ref="F4:F15" si="1">IF((B4+C4)&gt;0,D4/(B4+C4),0)</f>
        <v>0</v>
      </c>
      <c r="G4" s="13"/>
      <c r="H4" s="17">
        <f t="shared" ref="H4:H15" si="2">IF(E4&gt;0,G4/E4,0)</f>
        <v>0</v>
      </c>
      <c r="I4" s="12" t="s">
        <v>135</v>
      </c>
      <c r="J4" s="12"/>
    </row>
    <row r="5" spans="1:10" x14ac:dyDescent="0.3">
      <c r="A5" s="12"/>
      <c r="B5" s="13"/>
      <c r="C5" s="13"/>
      <c r="D5" s="13"/>
      <c r="E5" s="14">
        <f t="shared" si="0"/>
        <v>0</v>
      </c>
      <c r="F5" s="15">
        <f t="shared" si="1"/>
        <v>0</v>
      </c>
      <c r="G5" s="13"/>
      <c r="H5" s="17">
        <f t="shared" si="2"/>
        <v>0</v>
      </c>
      <c r="I5" s="12"/>
      <c r="J5" s="12"/>
    </row>
    <row r="6" spans="1:10" x14ac:dyDescent="0.3">
      <c r="A6" s="12"/>
      <c r="B6" s="13"/>
      <c r="C6" s="13"/>
      <c r="D6" s="13"/>
      <c r="E6" s="14">
        <f t="shared" si="0"/>
        <v>0</v>
      </c>
      <c r="F6" s="15">
        <f t="shared" si="1"/>
        <v>0</v>
      </c>
      <c r="G6" s="13"/>
      <c r="H6" s="17">
        <f t="shared" si="2"/>
        <v>0</v>
      </c>
      <c r="I6" s="12"/>
      <c r="J6" s="12"/>
    </row>
    <row r="7" spans="1:10" x14ac:dyDescent="0.3">
      <c r="A7" s="12"/>
      <c r="B7" s="13"/>
      <c r="C7" s="13"/>
      <c r="D7" s="13"/>
      <c r="E7" s="14">
        <f t="shared" si="0"/>
        <v>0</v>
      </c>
      <c r="F7" s="15">
        <f t="shared" si="1"/>
        <v>0</v>
      </c>
      <c r="G7" s="13"/>
      <c r="H7" s="17">
        <f t="shared" si="2"/>
        <v>0</v>
      </c>
      <c r="I7" s="12"/>
      <c r="J7" s="12"/>
    </row>
    <row r="8" spans="1:10" x14ac:dyDescent="0.3">
      <c r="A8" s="12"/>
      <c r="B8" s="13"/>
      <c r="C8" s="13"/>
      <c r="D8" s="13"/>
      <c r="E8" s="14">
        <f t="shared" si="0"/>
        <v>0</v>
      </c>
      <c r="F8" s="15">
        <f t="shared" si="1"/>
        <v>0</v>
      </c>
      <c r="G8" s="13"/>
      <c r="H8" s="17">
        <f t="shared" si="2"/>
        <v>0</v>
      </c>
      <c r="I8" s="12"/>
      <c r="J8" s="12"/>
    </row>
    <row r="9" spans="1:10" x14ac:dyDescent="0.3">
      <c r="A9" s="12"/>
      <c r="B9" s="13"/>
      <c r="C9" s="13"/>
      <c r="D9" s="13"/>
      <c r="E9" s="14">
        <f t="shared" si="0"/>
        <v>0</v>
      </c>
      <c r="F9" s="15">
        <f t="shared" si="1"/>
        <v>0</v>
      </c>
      <c r="G9" s="13"/>
      <c r="H9" s="17">
        <f t="shared" si="2"/>
        <v>0</v>
      </c>
      <c r="I9" s="12"/>
      <c r="J9" s="12"/>
    </row>
    <row r="10" spans="1:10" x14ac:dyDescent="0.3">
      <c r="A10" s="12"/>
      <c r="B10" s="13"/>
      <c r="C10" s="13"/>
      <c r="D10" s="13"/>
      <c r="E10" s="14">
        <f t="shared" si="0"/>
        <v>0</v>
      </c>
      <c r="F10" s="15">
        <f t="shared" si="1"/>
        <v>0</v>
      </c>
      <c r="G10" s="13"/>
      <c r="H10" s="17">
        <f t="shared" si="2"/>
        <v>0</v>
      </c>
      <c r="I10" s="12"/>
      <c r="J10" s="12"/>
    </row>
    <row r="11" spans="1:10" x14ac:dyDescent="0.3">
      <c r="A11" s="12"/>
      <c r="B11" s="13"/>
      <c r="C11" s="13"/>
      <c r="D11" s="13"/>
      <c r="E11" s="14">
        <f t="shared" si="0"/>
        <v>0</v>
      </c>
      <c r="F11" s="15">
        <f t="shared" si="1"/>
        <v>0</v>
      </c>
      <c r="G11" s="13"/>
      <c r="H11" s="17">
        <f t="shared" si="2"/>
        <v>0</v>
      </c>
      <c r="I11" s="12"/>
      <c r="J11" s="12"/>
    </row>
    <row r="12" spans="1:10" x14ac:dyDescent="0.3">
      <c r="A12" s="12"/>
      <c r="B12" s="13"/>
      <c r="C12" s="13"/>
      <c r="D12" s="13"/>
      <c r="E12" s="14">
        <f t="shared" si="0"/>
        <v>0</v>
      </c>
      <c r="F12" s="15">
        <f t="shared" si="1"/>
        <v>0</v>
      </c>
      <c r="G12" s="13"/>
      <c r="H12" s="17">
        <f t="shared" si="2"/>
        <v>0</v>
      </c>
      <c r="I12" s="12"/>
      <c r="J12" s="12"/>
    </row>
    <row r="13" spans="1:10" x14ac:dyDescent="0.3">
      <c r="A13" s="12"/>
      <c r="B13" s="13"/>
      <c r="C13" s="13"/>
      <c r="D13" s="13"/>
      <c r="E13" s="14">
        <f t="shared" si="0"/>
        <v>0</v>
      </c>
      <c r="F13" s="15">
        <f t="shared" si="1"/>
        <v>0</v>
      </c>
      <c r="G13" s="13"/>
      <c r="H13" s="17">
        <f t="shared" si="2"/>
        <v>0</v>
      </c>
      <c r="I13" s="12"/>
      <c r="J13" s="12"/>
    </row>
    <row r="14" spans="1:10" x14ac:dyDescent="0.3">
      <c r="A14" s="12"/>
      <c r="B14" s="13"/>
      <c r="C14" s="13"/>
      <c r="D14" s="13"/>
      <c r="E14" s="14">
        <f t="shared" si="0"/>
        <v>0</v>
      </c>
      <c r="F14" s="15">
        <f t="shared" si="1"/>
        <v>0</v>
      </c>
      <c r="G14" s="13"/>
      <c r="H14" s="17">
        <f t="shared" si="2"/>
        <v>0</v>
      </c>
      <c r="I14" s="12"/>
      <c r="J14" s="12"/>
    </row>
    <row r="15" spans="1:10" x14ac:dyDescent="0.3">
      <c r="A15" s="12"/>
      <c r="B15" s="13"/>
      <c r="C15" s="13"/>
      <c r="D15" s="13"/>
      <c r="E15" s="14">
        <f t="shared" si="0"/>
        <v>0</v>
      </c>
      <c r="F15" s="15">
        <f t="shared" si="1"/>
        <v>0</v>
      </c>
      <c r="G15" s="13"/>
      <c r="H15" s="17">
        <f t="shared" si="2"/>
        <v>0</v>
      </c>
      <c r="I15" s="12"/>
      <c r="J15" s="12"/>
    </row>
  </sheetData>
  <sheetProtection sheet="1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"/>
  <sheetViews>
    <sheetView showGridLines="0" workbookViewId="0">
      <selection activeCell="G5" sqref="G5"/>
    </sheetView>
  </sheetViews>
  <sheetFormatPr defaultRowHeight="14.4" x14ac:dyDescent="0.3"/>
  <cols>
    <col min="1" max="1" width="12" customWidth="1"/>
    <col min="2" max="4" width="16" customWidth="1"/>
    <col min="5" max="5" width="12" customWidth="1"/>
    <col min="6" max="7" width="14" customWidth="1"/>
    <col min="8" max="8" width="16" customWidth="1"/>
    <col min="9" max="9" width="18" customWidth="1"/>
    <col min="10" max="10" width="26" customWidth="1"/>
  </cols>
  <sheetData>
    <row r="1" spans="1:10" ht="18" customHeight="1" x14ac:dyDescent="0.35">
      <c r="A1" s="72" t="s">
        <v>198</v>
      </c>
      <c r="B1" s="64"/>
      <c r="C1" s="64"/>
      <c r="D1" s="64"/>
      <c r="E1" s="64"/>
      <c r="F1" s="64"/>
      <c r="G1" s="64"/>
      <c r="H1" s="64"/>
      <c r="I1" s="64"/>
      <c r="J1" s="64"/>
    </row>
    <row r="3" spans="1:10" x14ac:dyDescent="0.3">
      <c r="A3" s="3" t="s">
        <v>387</v>
      </c>
      <c r="B3" s="3" t="s">
        <v>388</v>
      </c>
      <c r="C3" s="3" t="s">
        <v>389</v>
      </c>
      <c r="D3" s="3" t="s">
        <v>390</v>
      </c>
      <c r="E3" s="3" t="s">
        <v>391</v>
      </c>
      <c r="F3" s="3" t="s">
        <v>392</v>
      </c>
      <c r="G3" s="3" t="s">
        <v>393</v>
      </c>
      <c r="H3" s="3" t="s">
        <v>180</v>
      </c>
      <c r="I3" s="3" t="s">
        <v>394</v>
      </c>
      <c r="J3" s="3" t="s">
        <v>9</v>
      </c>
    </row>
    <row r="4" spans="1:10" x14ac:dyDescent="0.3">
      <c r="A4" s="30" t="s">
        <v>546</v>
      </c>
      <c r="B4" s="31">
        <v>202.66</v>
      </c>
      <c r="C4" s="31"/>
      <c r="D4" s="32" t="str">
        <f>IF(OR(B4="",C4=""),"",C4-B4)</f>
        <v/>
      </c>
      <c r="E4" s="33" t="e">
        <f>IF(B4&gt;0,D4/B4,"")</f>
        <v>#VALUE!</v>
      </c>
      <c r="F4" s="31">
        <v>1.18</v>
      </c>
      <c r="G4" s="36">
        <v>6.0000000000000001E-3</v>
      </c>
      <c r="H4" s="30">
        <v>1</v>
      </c>
      <c r="I4" s="30"/>
      <c r="J4" s="30"/>
    </row>
    <row r="5" spans="1:10" x14ac:dyDescent="0.3">
      <c r="A5" s="30"/>
      <c r="B5" s="31"/>
      <c r="C5" s="31"/>
      <c r="D5" s="32" t="str">
        <f>IF(OR(B5="",C5=""),"",C5-B5)</f>
        <v/>
      </c>
      <c r="E5" s="33" t="str">
        <f>IF(B5&gt;0,D5/B5,"")</f>
        <v/>
      </c>
      <c r="F5" s="31"/>
      <c r="G5" s="36" t="str">
        <f>IF(C5&gt;0,F5/C5,"")</f>
        <v/>
      </c>
      <c r="H5" s="30"/>
      <c r="I5" s="30"/>
      <c r="J5" s="30"/>
    </row>
    <row r="6" spans="1:10" x14ac:dyDescent="0.3">
      <c r="A6" s="30"/>
      <c r="B6" s="31"/>
      <c r="C6" s="31"/>
      <c r="D6" s="32" t="str">
        <f>IF(OR(B6="",C6=""),"",C6-B6)</f>
        <v/>
      </c>
      <c r="E6" s="33" t="str">
        <f>IF(B6&gt;0,D6/B6,"")</f>
        <v/>
      </c>
      <c r="F6" s="31"/>
      <c r="G6" s="36" t="str">
        <f>IF(C6&gt;0,F6/C6,"")</f>
        <v/>
      </c>
      <c r="H6" s="30"/>
      <c r="I6" s="30"/>
      <c r="J6" s="30"/>
    </row>
    <row r="7" spans="1:10" x14ac:dyDescent="0.3">
      <c r="A7" s="30"/>
      <c r="B7" s="31"/>
      <c r="C7" s="31"/>
      <c r="D7" s="32" t="str">
        <f>IF(OR(B7="",C7=""),"",C7-B7)</f>
        <v/>
      </c>
      <c r="E7" s="33" t="str">
        <f>IF(B7&gt;0,D7/B7,"")</f>
        <v/>
      </c>
      <c r="F7" s="31"/>
      <c r="G7" s="36" t="str">
        <f>IF(C7&gt;0,F7/C7,"")</f>
        <v/>
      </c>
      <c r="H7" s="30"/>
      <c r="I7" s="30"/>
      <c r="J7" s="30"/>
    </row>
    <row r="8" spans="1:10" x14ac:dyDescent="0.3">
      <c r="A8" s="30"/>
      <c r="B8" s="31"/>
      <c r="C8" s="31"/>
      <c r="D8" s="32" t="str">
        <f>IF(OR(B8="",C8=""),"",C8-B8)</f>
        <v/>
      </c>
      <c r="E8" s="33" t="str">
        <f>IF(B8&gt;0,D8/B8,"")</f>
        <v/>
      </c>
      <c r="F8" s="31"/>
      <c r="G8" s="36" t="str">
        <f>IF(C8&gt;0,F8/C8,"")</f>
        <v/>
      </c>
      <c r="H8" s="30"/>
      <c r="I8" s="30"/>
      <c r="J8" s="30"/>
    </row>
    <row r="9" spans="1:10" x14ac:dyDescent="0.3">
      <c r="A9" s="30"/>
      <c r="B9" s="31"/>
      <c r="C9" s="31"/>
      <c r="D9" s="32" t="str">
        <f t="shared" ref="D9:D20" si="0">IF(OR(B9="",C9=""),"",C9-B9)</f>
        <v/>
      </c>
      <c r="E9" s="33" t="str">
        <f t="shared" ref="E9:E20" si="1">IF(B9&gt;0,D9/B9,"")</f>
        <v/>
      </c>
      <c r="F9" s="31"/>
      <c r="G9" s="36" t="str">
        <f t="shared" ref="G9:G20" si="2">IF(C9&gt;0,F9/C9,"")</f>
        <v/>
      </c>
      <c r="H9" s="30"/>
      <c r="I9" s="30"/>
      <c r="J9" s="30"/>
    </row>
    <row r="10" spans="1:10" x14ac:dyDescent="0.3">
      <c r="A10" s="30"/>
      <c r="B10" s="31"/>
      <c r="C10" s="31"/>
      <c r="D10" s="32" t="str">
        <f t="shared" si="0"/>
        <v/>
      </c>
      <c r="E10" s="33" t="str">
        <f t="shared" si="1"/>
        <v/>
      </c>
      <c r="F10" s="31"/>
      <c r="G10" s="36" t="str">
        <f t="shared" si="2"/>
        <v/>
      </c>
      <c r="H10" s="30"/>
      <c r="I10" s="30"/>
      <c r="J10" s="30"/>
    </row>
    <row r="11" spans="1:10" x14ac:dyDescent="0.3">
      <c r="A11" s="30"/>
      <c r="B11" s="31"/>
      <c r="C11" s="31"/>
      <c r="D11" s="32" t="str">
        <f t="shared" si="0"/>
        <v/>
      </c>
      <c r="E11" s="33" t="str">
        <f t="shared" si="1"/>
        <v/>
      </c>
      <c r="F11" s="31"/>
      <c r="G11" s="36" t="str">
        <f t="shared" si="2"/>
        <v/>
      </c>
      <c r="H11" s="30"/>
      <c r="I11" s="30"/>
      <c r="J11" s="30"/>
    </row>
    <row r="12" spans="1:10" x14ac:dyDescent="0.3">
      <c r="A12" s="30"/>
      <c r="B12" s="31"/>
      <c r="C12" s="31"/>
      <c r="D12" s="32" t="str">
        <f t="shared" si="0"/>
        <v/>
      </c>
      <c r="E12" s="33" t="str">
        <f t="shared" si="1"/>
        <v/>
      </c>
      <c r="F12" s="31"/>
      <c r="G12" s="36" t="str">
        <f t="shared" si="2"/>
        <v/>
      </c>
      <c r="H12" s="30"/>
      <c r="I12" s="30"/>
      <c r="J12" s="30"/>
    </row>
    <row r="13" spans="1:10" x14ac:dyDescent="0.3">
      <c r="A13" s="30"/>
      <c r="B13" s="31"/>
      <c r="C13" s="31"/>
      <c r="D13" s="32" t="str">
        <f t="shared" si="0"/>
        <v/>
      </c>
      <c r="E13" s="33" t="str">
        <f t="shared" si="1"/>
        <v/>
      </c>
      <c r="F13" s="31"/>
      <c r="G13" s="36" t="str">
        <f t="shared" si="2"/>
        <v/>
      </c>
      <c r="H13" s="30"/>
      <c r="I13" s="30"/>
      <c r="J13" s="30"/>
    </row>
    <row r="14" spans="1:10" x14ac:dyDescent="0.3">
      <c r="A14" s="30"/>
      <c r="B14" s="31"/>
      <c r="C14" s="31"/>
      <c r="D14" s="32" t="str">
        <f t="shared" si="0"/>
        <v/>
      </c>
      <c r="E14" s="33" t="str">
        <f t="shared" si="1"/>
        <v/>
      </c>
      <c r="F14" s="31"/>
      <c r="G14" s="36" t="str">
        <f t="shared" si="2"/>
        <v/>
      </c>
      <c r="H14" s="30"/>
      <c r="I14" s="30"/>
      <c r="J14" s="30"/>
    </row>
    <row r="15" spans="1:10" x14ac:dyDescent="0.3">
      <c r="A15" s="30"/>
      <c r="B15" s="31"/>
      <c r="C15" s="31"/>
      <c r="D15" s="32" t="str">
        <f t="shared" si="0"/>
        <v/>
      </c>
      <c r="E15" s="33" t="str">
        <f t="shared" si="1"/>
        <v/>
      </c>
      <c r="F15" s="31"/>
      <c r="G15" s="36" t="str">
        <f t="shared" si="2"/>
        <v/>
      </c>
      <c r="H15" s="30"/>
      <c r="I15" s="30"/>
      <c r="J15" s="30"/>
    </row>
    <row r="16" spans="1:10" x14ac:dyDescent="0.3">
      <c r="A16" s="30"/>
      <c r="B16" s="31"/>
      <c r="C16" s="31"/>
      <c r="D16" s="32" t="str">
        <f t="shared" si="0"/>
        <v/>
      </c>
      <c r="E16" s="33" t="str">
        <f t="shared" si="1"/>
        <v/>
      </c>
      <c r="F16" s="31"/>
      <c r="G16" s="36" t="str">
        <f t="shared" si="2"/>
        <v/>
      </c>
      <c r="H16" s="30"/>
      <c r="I16" s="30"/>
      <c r="J16" s="30"/>
    </row>
    <row r="17" spans="1:10" x14ac:dyDescent="0.3">
      <c r="A17" s="30"/>
      <c r="B17" s="31"/>
      <c r="C17" s="31"/>
      <c r="D17" s="32" t="str">
        <f t="shared" si="0"/>
        <v/>
      </c>
      <c r="E17" s="33" t="str">
        <f t="shared" si="1"/>
        <v/>
      </c>
      <c r="F17" s="31"/>
      <c r="G17" s="36" t="str">
        <f t="shared" si="2"/>
        <v/>
      </c>
      <c r="H17" s="30"/>
      <c r="I17" s="30"/>
      <c r="J17" s="30"/>
    </row>
    <row r="18" spans="1:10" x14ac:dyDescent="0.3">
      <c r="A18" s="30"/>
      <c r="B18" s="31"/>
      <c r="C18" s="31"/>
      <c r="D18" s="32" t="str">
        <f t="shared" si="0"/>
        <v/>
      </c>
      <c r="E18" s="33" t="str">
        <f t="shared" si="1"/>
        <v/>
      </c>
      <c r="F18" s="31"/>
      <c r="G18" s="36" t="str">
        <f t="shared" si="2"/>
        <v/>
      </c>
      <c r="H18" s="30"/>
      <c r="I18" s="30"/>
      <c r="J18" s="30"/>
    </row>
    <row r="19" spans="1:10" x14ac:dyDescent="0.3">
      <c r="A19" s="30"/>
      <c r="B19" s="31"/>
      <c r="C19" s="31"/>
      <c r="D19" s="32" t="str">
        <f t="shared" si="0"/>
        <v/>
      </c>
      <c r="E19" s="33" t="str">
        <f t="shared" si="1"/>
        <v/>
      </c>
      <c r="F19" s="31"/>
      <c r="G19" s="36" t="str">
        <f t="shared" si="2"/>
        <v/>
      </c>
      <c r="H19" s="30"/>
      <c r="I19" s="30"/>
      <c r="J19" s="30"/>
    </row>
    <row r="20" spans="1:10" x14ac:dyDescent="0.3">
      <c r="A20" s="30"/>
      <c r="B20" s="31"/>
      <c r="C20" s="31"/>
      <c r="D20" s="32" t="str">
        <f t="shared" si="0"/>
        <v/>
      </c>
      <c r="E20" s="33" t="str">
        <f t="shared" si="1"/>
        <v/>
      </c>
      <c r="F20" s="31"/>
      <c r="G20" s="36" t="str">
        <f t="shared" si="2"/>
        <v/>
      </c>
      <c r="H20" s="30"/>
      <c r="I20" s="30"/>
      <c r="J20" s="30"/>
    </row>
  </sheetData>
  <sheetProtection sheet="1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workbookViewId="0">
      <selection activeCell="D4" sqref="D4"/>
    </sheetView>
  </sheetViews>
  <sheetFormatPr defaultRowHeight="14.4" x14ac:dyDescent="0.3"/>
  <cols>
    <col min="1" max="2" width="18" customWidth="1"/>
    <col min="3" max="4" width="16" customWidth="1"/>
    <col min="5" max="5" width="28" customWidth="1"/>
  </cols>
  <sheetData>
    <row r="1" spans="1:5" ht="18" customHeight="1" x14ac:dyDescent="0.35">
      <c r="A1" s="72" t="s">
        <v>224</v>
      </c>
      <c r="B1" s="64"/>
      <c r="C1" s="64"/>
      <c r="D1" s="64"/>
      <c r="E1" s="64"/>
    </row>
    <row r="3" spans="1:5" x14ac:dyDescent="0.3">
      <c r="A3" s="3" t="s">
        <v>225</v>
      </c>
      <c r="B3" s="3" t="s">
        <v>226</v>
      </c>
      <c r="C3" s="3" t="s">
        <v>227</v>
      </c>
      <c r="D3" s="3" t="s">
        <v>173</v>
      </c>
      <c r="E3" s="3" t="s">
        <v>132</v>
      </c>
    </row>
    <row r="4" spans="1:5" x14ac:dyDescent="0.3">
      <c r="A4" s="16" t="s">
        <v>228</v>
      </c>
      <c r="B4" s="16">
        <v>0.01</v>
      </c>
      <c r="C4" s="16" t="str">
        <f>IF(Config!B3&gt;=150,"Sim","Não")</f>
        <v>Sim</v>
      </c>
      <c r="D4" s="12"/>
      <c r="E4" s="16" t="s">
        <v>229</v>
      </c>
    </row>
    <row r="5" spans="1:5" x14ac:dyDescent="0.3">
      <c r="A5" s="16" t="s">
        <v>230</v>
      </c>
      <c r="B5" s="16">
        <v>0.02</v>
      </c>
      <c r="C5" s="16" t="str">
        <f>IF(Config!B3&gt;=350,"Sim","Não")</f>
        <v>Não</v>
      </c>
      <c r="D5" s="12"/>
      <c r="E5" s="16" t="s">
        <v>231</v>
      </c>
    </row>
    <row r="6" spans="1:5" x14ac:dyDescent="0.3">
      <c r="A6" s="16" t="s">
        <v>232</v>
      </c>
      <c r="B6" s="16">
        <v>0.03</v>
      </c>
      <c r="C6" s="16" t="str">
        <f>IF(Config!B3&gt;=700,"Sim","Não")</f>
        <v>Não</v>
      </c>
      <c r="D6" s="12"/>
      <c r="E6" s="16" t="s">
        <v>233</v>
      </c>
    </row>
    <row r="7" spans="1:5" x14ac:dyDescent="0.3">
      <c r="A7" s="16" t="s">
        <v>234</v>
      </c>
      <c r="B7" s="16">
        <v>0.05</v>
      </c>
      <c r="C7" s="16" t="str">
        <f>IF(Config!B3&gt;=1200,"Sim","Não")</f>
        <v>Não</v>
      </c>
      <c r="D7" s="12"/>
      <c r="E7" s="16" t="s">
        <v>235</v>
      </c>
    </row>
  </sheetData>
  <sheetProtection sheet="1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>
      <selection activeCell="H5" sqref="H5"/>
    </sheetView>
  </sheetViews>
  <sheetFormatPr defaultRowHeight="14.4" x14ac:dyDescent="0.3"/>
  <cols>
    <col min="1" max="1" width="14" customWidth="1"/>
    <col min="2" max="3" width="18" customWidth="1"/>
    <col min="4" max="4" width="42" customWidth="1"/>
    <col min="5" max="5" width="16" customWidth="1"/>
  </cols>
  <sheetData>
    <row r="1" spans="1:5" x14ac:dyDescent="0.3">
      <c r="A1" s="3" t="s">
        <v>236</v>
      </c>
      <c r="B1" s="3" t="s">
        <v>237</v>
      </c>
      <c r="C1" s="3" t="s">
        <v>238</v>
      </c>
      <c r="D1" s="3" t="s">
        <v>132</v>
      </c>
      <c r="E1" s="3" t="s">
        <v>177</v>
      </c>
    </row>
    <row r="2" spans="1:5" x14ac:dyDescent="0.3">
      <c r="A2" s="16" t="s">
        <v>239</v>
      </c>
      <c r="B2" s="16">
        <v>250</v>
      </c>
      <c r="C2" s="16">
        <v>2.5</v>
      </c>
      <c r="D2" s="16" t="s">
        <v>240</v>
      </c>
      <c r="E2" s="16" t="str">
        <f>IF(Config!B3&gt;=250,"Sim","Não")</f>
        <v>Não</v>
      </c>
    </row>
    <row r="3" spans="1:5" x14ac:dyDescent="0.3">
      <c r="A3" s="16" t="s">
        <v>241</v>
      </c>
      <c r="B3" s="16">
        <v>350</v>
      </c>
      <c r="C3" s="16">
        <v>3</v>
      </c>
      <c r="D3" s="16" t="s">
        <v>242</v>
      </c>
      <c r="E3" s="16" t="str">
        <f>IF(Config!B3&gt;=350,"Sim","Não")</f>
        <v>Não</v>
      </c>
    </row>
    <row r="4" spans="1:5" x14ac:dyDescent="0.3">
      <c r="A4" s="16" t="s">
        <v>243</v>
      </c>
      <c r="B4" s="16">
        <v>500</v>
      </c>
      <c r="C4" s="16">
        <v>4</v>
      </c>
      <c r="D4" s="16" t="s">
        <v>244</v>
      </c>
      <c r="E4" s="16" t="str">
        <f>IF(Config!B3&gt;=500,"Sim","Não")</f>
        <v>Não</v>
      </c>
    </row>
    <row r="5" spans="1:5" x14ac:dyDescent="0.3">
      <c r="A5" s="16" t="s">
        <v>245</v>
      </c>
      <c r="B5" s="16">
        <v>700</v>
      </c>
      <c r="C5" s="16">
        <v>5</v>
      </c>
      <c r="D5" s="16" t="s">
        <v>246</v>
      </c>
      <c r="E5" s="16" t="str">
        <f>IF(Config!B3&gt;=700,"Sim","Não")</f>
        <v>Não</v>
      </c>
    </row>
    <row r="6" spans="1:5" x14ac:dyDescent="0.3">
      <c r="A6" s="16" t="s">
        <v>247</v>
      </c>
      <c r="B6" s="16">
        <v>1000</v>
      </c>
      <c r="C6" s="16">
        <v>6</v>
      </c>
      <c r="D6" s="16" t="s">
        <v>248</v>
      </c>
      <c r="E6" s="16" t="str">
        <f>IF(Config!B3&gt;=1000,"Sim","Não")</f>
        <v>Não</v>
      </c>
    </row>
    <row r="9" spans="1:5" x14ac:dyDescent="0.3">
      <c r="A9" s="63" t="s">
        <v>249</v>
      </c>
      <c r="B9" s="64"/>
      <c r="C9" s="64"/>
      <c r="D9" s="64"/>
      <c r="E9" s="64"/>
    </row>
    <row r="10" spans="1:5" x14ac:dyDescent="0.3">
      <c r="A10" s="3" t="s">
        <v>250</v>
      </c>
      <c r="B10" s="3" t="s">
        <v>251</v>
      </c>
      <c r="C10" s="3" t="s">
        <v>252</v>
      </c>
      <c r="D10" s="3" t="s">
        <v>253</v>
      </c>
      <c r="E10" s="3" t="s">
        <v>5</v>
      </c>
    </row>
    <row r="11" spans="1:5" x14ac:dyDescent="0.3">
      <c r="A11" s="16" t="s">
        <v>254</v>
      </c>
      <c r="B11" s="16">
        <v>250</v>
      </c>
      <c r="C11" s="16" t="s">
        <v>255</v>
      </c>
      <c r="D11" s="16" t="s">
        <v>256</v>
      </c>
      <c r="E11" s="16" t="str">
        <f>IF(Config!B3&gt;=250,"Pode avaliar","Aguardar")</f>
        <v>Aguardar</v>
      </c>
    </row>
    <row r="12" spans="1:5" x14ac:dyDescent="0.3">
      <c r="A12" s="16" t="s">
        <v>257</v>
      </c>
      <c r="B12" s="16">
        <v>350</v>
      </c>
      <c r="C12" s="16" t="s">
        <v>258</v>
      </c>
      <c r="D12" s="16" t="s">
        <v>259</v>
      </c>
      <c r="E12" s="16" t="str">
        <f>IF(Config!B3&gt;=350,"Pode avaliar","Aguardar")</f>
        <v>Aguardar</v>
      </c>
    </row>
  </sheetData>
  <sheetProtection sheet="1"/>
  <mergeCells count="1"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"/>
  <sheetViews>
    <sheetView showGridLines="0" workbookViewId="0">
      <selection activeCell="K17" sqref="K17"/>
    </sheetView>
  </sheetViews>
  <sheetFormatPr defaultRowHeight="14.4" x14ac:dyDescent="0.3"/>
  <cols>
    <col min="1" max="1" width="16" customWidth="1"/>
    <col min="2" max="2" width="18" customWidth="1"/>
    <col min="3" max="3" width="14" customWidth="1"/>
    <col min="4" max="5" width="18" customWidth="1"/>
    <col min="6" max="6" width="16" customWidth="1"/>
    <col min="7" max="7" width="22" customWidth="1"/>
    <col min="9" max="9" width="14" customWidth="1"/>
    <col min="10" max="10" width="18" customWidth="1"/>
    <col min="11" max="11" width="16" customWidth="1"/>
  </cols>
  <sheetData>
    <row r="1" spans="1:11" ht="18" customHeight="1" x14ac:dyDescent="0.35">
      <c r="A1" s="72" t="s">
        <v>345</v>
      </c>
      <c r="B1" s="64"/>
      <c r="C1" s="64"/>
      <c r="D1" s="64"/>
      <c r="E1" s="64"/>
      <c r="F1" s="64"/>
      <c r="G1" s="64"/>
      <c r="H1" s="64"/>
    </row>
    <row r="3" spans="1:11" x14ac:dyDescent="0.3">
      <c r="A3" s="5" t="s">
        <v>96</v>
      </c>
      <c r="B3" s="2">
        <f>Config!B18</f>
        <v>202.66</v>
      </c>
      <c r="D3" s="6" t="s">
        <v>346</v>
      </c>
      <c r="I3" s="6" t="s">
        <v>347</v>
      </c>
    </row>
    <row r="4" spans="1:11" x14ac:dyDescent="0.3">
      <c r="A4" s="5" t="s">
        <v>97</v>
      </c>
      <c r="B4" s="2">
        <f>Config!B4</f>
        <v>55</v>
      </c>
      <c r="D4" s="3" t="s">
        <v>348</v>
      </c>
      <c r="E4" s="3" t="s">
        <v>349</v>
      </c>
      <c r="F4" s="3" t="s">
        <v>350</v>
      </c>
      <c r="G4" s="3" t="s">
        <v>351</v>
      </c>
      <c r="I4" s="3" t="s">
        <v>348</v>
      </c>
      <c r="J4" s="3" t="s">
        <v>350</v>
      </c>
      <c r="K4" s="3" t="s">
        <v>352</v>
      </c>
    </row>
    <row r="5" spans="1:11" x14ac:dyDescent="0.3">
      <c r="A5" s="5" t="s">
        <v>353</v>
      </c>
      <c r="B5" s="2">
        <f>Config!B5</f>
        <v>1.5</v>
      </c>
      <c r="D5" s="16">
        <v>250</v>
      </c>
      <c r="E5" s="14">
        <f>MAX(D5-$B$3,0)</f>
        <v>47.34</v>
      </c>
      <c r="F5" s="18">
        <f>IF(($B$7+$B$4)&gt;0,E5/($B$7+$B$4),0)</f>
        <v>0.53795454545454546</v>
      </c>
      <c r="G5" s="16" t="str">
        <f>IF(E5=0,"Target já atingido",IF(F5&lt;1,"Menos de 1 mês",ROUNDUP(F5,0)&amp;" mês(es)"))</f>
        <v>Menos de 1 mês</v>
      </c>
      <c r="I5" s="16">
        <f>D5</f>
        <v>250</v>
      </c>
      <c r="J5" s="16">
        <f>F5</f>
        <v>0.53795454545454546</v>
      </c>
      <c r="K5" s="19">
        <f>IF(OR(J5="",Config!B16=""),"",EDATE(DATEVALUE(Config!B16),ROUNDUP(J5,0)))</f>
        <v>46113</v>
      </c>
    </row>
    <row r="6" spans="1:11" x14ac:dyDescent="0.3">
      <c r="A6" s="5" t="s">
        <v>354</v>
      </c>
      <c r="B6" s="2">
        <f>Config!B15</f>
        <v>22</v>
      </c>
      <c r="D6" s="16">
        <v>350</v>
      </c>
      <c r="E6" s="14">
        <f>MAX(D6-$B$3,0)</f>
        <v>147.34</v>
      </c>
      <c r="F6" s="18">
        <f>IF(($B$7+$B$4)&gt;0,E6/($B$7+$B$4),0)</f>
        <v>1.6743181818181818</v>
      </c>
      <c r="G6" s="16" t="str">
        <f>IF(E6=0,"Target já atingido",IF(F6&lt;1,"Menos de 1 mês",ROUNDUP(F6,0)&amp;" mês(es)"))</f>
        <v>2 mês(es)</v>
      </c>
      <c r="I6" s="16">
        <f>D6</f>
        <v>350</v>
      </c>
      <c r="J6" s="16">
        <f>F6</f>
        <v>1.6743181818181818</v>
      </c>
      <c r="K6" s="19">
        <f>IF(OR(J6="",Config!B16=""),"",EDATE(DATEVALUE(Config!B16),ROUNDUP(J6,0)))</f>
        <v>46143</v>
      </c>
    </row>
    <row r="7" spans="1:11" x14ac:dyDescent="0.3">
      <c r="A7" s="5" t="s">
        <v>355</v>
      </c>
      <c r="B7" s="7">
        <f>B5*B6</f>
        <v>33</v>
      </c>
      <c r="D7" s="16">
        <v>500</v>
      </c>
      <c r="E7" s="14">
        <f>MAX(D7-$B$3,0)</f>
        <v>297.34000000000003</v>
      </c>
      <c r="F7" s="18">
        <f>IF(($B$7+$B$4)&gt;0,E7/($B$7+$B$4),0)</f>
        <v>3.3788636363636368</v>
      </c>
      <c r="G7" s="16" t="str">
        <f>IF(E7=0,"Target já atingido",IF(F7&lt;1,"Menos de 1 mês",ROUNDUP(F7,0)&amp;" mês(es)"))</f>
        <v>4 mês(es)</v>
      </c>
      <c r="I7" s="16">
        <f>D7</f>
        <v>500</v>
      </c>
      <c r="J7" s="16">
        <f>F7</f>
        <v>3.3788636363636368</v>
      </c>
      <c r="K7" s="19">
        <f>IF(OR(J7="",Config!B16=""),"",EDATE(DATEVALUE(Config!B16),ROUNDUP(J7,0)))</f>
        <v>46204</v>
      </c>
    </row>
    <row r="8" spans="1:11" x14ac:dyDescent="0.3">
      <c r="D8" s="16">
        <v>700</v>
      </c>
      <c r="E8" s="14">
        <f>MAX(D8-$B$3,0)</f>
        <v>497.34000000000003</v>
      </c>
      <c r="F8" s="18">
        <f>IF(($B$7+$B$4)&gt;0,E8/($B$7+$B$4),0)</f>
        <v>5.6515909090909098</v>
      </c>
      <c r="G8" s="16" t="str">
        <f>IF(E8=0,"Target já atingido",IF(F8&lt;1,"Menos de 1 mês",ROUNDUP(F8,0)&amp;" mês(es)"))</f>
        <v>6 mês(es)</v>
      </c>
      <c r="I8" s="16">
        <f>D8</f>
        <v>700</v>
      </c>
      <c r="J8" s="16">
        <f>F8</f>
        <v>5.6515909090909098</v>
      </c>
      <c r="K8" s="19">
        <f>IF(OR(J8="",Config!B16=""),"",EDATE(DATEVALUE(Config!B16),ROUNDUP(J8,0)))</f>
        <v>46266</v>
      </c>
    </row>
    <row r="9" spans="1:11" x14ac:dyDescent="0.3">
      <c r="D9" s="16">
        <v>1000</v>
      </c>
      <c r="E9" s="14">
        <f>MAX(D9-$B$3,0)</f>
        <v>797.34</v>
      </c>
      <c r="F9" s="18">
        <f>IF(($B$7+$B$4)&gt;0,E9/($B$7+$B$4),0)</f>
        <v>9.0606818181818181</v>
      </c>
      <c r="G9" s="16" t="str">
        <f>IF(E9=0,"Target já atingido",IF(F9&lt;1,"Menos de 1 mês",ROUNDUP(F9,0)&amp;" mês(es)"))</f>
        <v>10 mês(es)</v>
      </c>
      <c r="I9" s="16">
        <f>D9</f>
        <v>1000</v>
      </c>
      <c r="J9" s="16">
        <f>F9</f>
        <v>9.0606818181818181</v>
      </c>
      <c r="K9" s="19">
        <f>IF(OR(J9="",Config!B16=""),"",EDATE(DATEVALUE(Config!B16),ROUNDUP(J9,0)))</f>
        <v>46388</v>
      </c>
    </row>
    <row r="10" spans="1:11" x14ac:dyDescent="0.3">
      <c r="A10" s="6" t="s">
        <v>356</v>
      </c>
    </row>
    <row r="11" spans="1:11" x14ac:dyDescent="0.3">
      <c r="A11" s="3" t="s">
        <v>337</v>
      </c>
      <c r="B11" s="3" t="s">
        <v>1</v>
      </c>
      <c r="C11" s="3" t="s">
        <v>338</v>
      </c>
      <c r="D11" s="3" t="s">
        <v>357</v>
      </c>
      <c r="E11" s="3" t="s">
        <v>340</v>
      </c>
    </row>
    <row r="12" spans="1:11" x14ac:dyDescent="0.3">
      <c r="A12" s="16">
        <v>1</v>
      </c>
      <c r="B12" s="14">
        <f>B3</f>
        <v>202.66</v>
      </c>
      <c r="C12" s="14">
        <f>B4</f>
        <v>55</v>
      </c>
      <c r="D12" s="14">
        <f>B7</f>
        <v>33</v>
      </c>
      <c r="E12" s="14">
        <f t="shared" ref="E12:E23" si="0">B12+C12+D12</f>
        <v>290.65999999999997</v>
      </c>
    </row>
    <row r="13" spans="1:11" x14ac:dyDescent="0.3">
      <c r="A13" s="16">
        <v>2</v>
      </c>
      <c r="B13" s="14">
        <f t="shared" ref="B13:B23" si="1">E12</f>
        <v>290.65999999999997</v>
      </c>
      <c r="C13" s="14">
        <f>B4</f>
        <v>55</v>
      </c>
      <c r="D13" s="14">
        <f>B7</f>
        <v>33</v>
      </c>
      <c r="E13" s="14">
        <f t="shared" si="0"/>
        <v>378.65999999999997</v>
      </c>
    </row>
    <row r="14" spans="1:11" x14ac:dyDescent="0.3">
      <c r="A14" s="16">
        <v>3</v>
      </c>
      <c r="B14" s="14">
        <f t="shared" si="1"/>
        <v>378.65999999999997</v>
      </c>
      <c r="C14" s="14">
        <f>B4</f>
        <v>55</v>
      </c>
      <c r="D14" s="14">
        <f>B7</f>
        <v>33</v>
      </c>
      <c r="E14" s="14">
        <f t="shared" si="0"/>
        <v>466.65999999999997</v>
      </c>
    </row>
    <row r="15" spans="1:11" x14ac:dyDescent="0.3">
      <c r="A15" s="16">
        <v>4</v>
      </c>
      <c r="B15" s="14">
        <f t="shared" si="1"/>
        <v>466.65999999999997</v>
      </c>
      <c r="C15" s="14">
        <f>B4</f>
        <v>55</v>
      </c>
      <c r="D15" s="14">
        <f>B7</f>
        <v>33</v>
      </c>
      <c r="E15" s="14">
        <f t="shared" si="0"/>
        <v>554.66</v>
      </c>
    </row>
    <row r="16" spans="1:11" x14ac:dyDescent="0.3">
      <c r="A16" s="16">
        <v>5</v>
      </c>
      <c r="B16" s="14">
        <f t="shared" si="1"/>
        <v>554.66</v>
      </c>
      <c r="C16" s="14">
        <f>B4</f>
        <v>55</v>
      </c>
      <c r="D16" s="14">
        <f>B7</f>
        <v>33</v>
      </c>
      <c r="E16" s="14">
        <f t="shared" si="0"/>
        <v>642.66</v>
      </c>
    </row>
    <row r="17" spans="1:5" x14ac:dyDescent="0.3">
      <c r="A17" s="16">
        <v>6</v>
      </c>
      <c r="B17" s="14">
        <f t="shared" si="1"/>
        <v>642.66</v>
      </c>
      <c r="C17" s="14">
        <f>B4</f>
        <v>55</v>
      </c>
      <c r="D17" s="14">
        <f>B7</f>
        <v>33</v>
      </c>
      <c r="E17" s="14">
        <f t="shared" si="0"/>
        <v>730.66</v>
      </c>
    </row>
    <row r="18" spans="1:5" x14ac:dyDescent="0.3">
      <c r="A18" s="16">
        <v>7</v>
      </c>
      <c r="B18" s="14">
        <f t="shared" si="1"/>
        <v>730.66</v>
      </c>
      <c r="C18" s="14">
        <f>B4</f>
        <v>55</v>
      </c>
      <c r="D18" s="14">
        <f>B7</f>
        <v>33</v>
      </c>
      <c r="E18" s="14">
        <f t="shared" si="0"/>
        <v>818.66</v>
      </c>
    </row>
    <row r="19" spans="1:5" x14ac:dyDescent="0.3">
      <c r="A19" s="16">
        <v>8</v>
      </c>
      <c r="B19" s="14">
        <f t="shared" si="1"/>
        <v>818.66</v>
      </c>
      <c r="C19" s="14">
        <f>B4</f>
        <v>55</v>
      </c>
      <c r="D19" s="14">
        <f>B7</f>
        <v>33</v>
      </c>
      <c r="E19" s="14">
        <f t="shared" si="0"/>
        <v>906.66</v>
      </c>
    </row>
    <row r="20" spans="1:5" x14ac:dyDescent="0.3">
      <c r="A20" s="16">
        <v>9</v>
      </c>
      <c r="B20" s="14">
        <f t="shared" si="1"/>
        <v>906.66</v>
      </c>
      <c r="C20" s="14">
        <f>B4</f>
        <v>55</v>
      </c>
      <c r="D20" s="14">
        <f>B7</f>
        <v>33</v>
      </c>
      <c r="E20" s="14">
        <f t="shared" si="0"/>
        <v>994.66</v>
      </c>
    </row>
    <row r="21" spans="1:5" x14ac:dyDescent="0.3">
      <c r="A21" s="16">
        <v>10</v>
      </c>
      <c r="B21" s="14">
        <f t="shared" si="1"/>
        <v>994.66</v>
      </c>
      <c r="C21" s="14">
        <f>B4</f>
        <v>55</v>
      </c>
      <c r="D21" s="14">
        <f>B7</f>
        <v>33</v>
      </c>
      <c r="E21" s="14">
        <f t="shared" si="0"/>
        <v>1082.6599999999999</v>
      </c>
    </row>
    <row r="22" spans="1:5" x14ac:dyDescent="0.3">
      <c r="A22" s="16">
        <v>11</v>
      </c>
      <c r="B22" s="14">
        <f t="shared" si="1"/>
        <v>1082.6599999999999</v>
      </c>
      <c r="C22" s="14">
        <f>B4</f>
        <v>55</v>
      </c>
      <c r="D22" s="14">
        <f>B7</f>
        <v>33</v>
      </c>
      <c r="E22" s="14">
        <f t="shared" si="0"/>
        <v>1170.6599999999999</v>
      </c>
    </row>
    <row r="23" spans="1:5" x14ac:dyDescent="0.3">
      <c r="A23" s="16">
        <v>12</v>
      </c>
      <c r="B23" s="14">
        <f t="shared" si="1"/>
        <v>1170.6599999999999</v>
      </c>
      <c r="C23" s="14">
        <f>B4</f>
        <v>55</v>
      </c>
      <c r="D23" s="14">
        <f>B7</f>
        <v>33</v>
      </c>
      <c r="E23" s="14">
        <f t="shared" si="0"/>
        <v>1258.6599999999999</v>
      </c>
    </row>
  </sheetData>
  <sheetProtection sheet="1"/>
  <mergeCells count="1">
    <mergeCell ref="A1:H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"/>
  <sheetViews>
    <sheetView showGridLines="0" workbookViewId="0">
      <selection activeCell="D12" sqref="D12"/>
    </sheetView>
  </sheetViews>
  <sheetFormatPr defaultRowHeight="14.4" x14ac:dyDescent="0.3"/>
  <cols>
    <col min="1" max="1" width="14" customWidth="1"/>
    <col min="2" max="2" width="24" customWidth="1"/>
    <col min="3" max="5" width="16" customWidth="1"/>
    <col min="6" max="6" width="18" customWidth="1"/>
    <col min="7" max="7" width="16" customWidth="1"/>
    <col min="8" max="8" width="32" customWidth="1"/>
  </cols>
  <sheetData>
    <row r="1" spans="1:8" ht="18" customHeight="1" x14ac:dyDescent="0.35">
      <c r="A1" s="72" t="s">
        <v>358</v>
      </c>
      <c r="B1" s="64"/>
      <c r="C1" s="64"/>
      <c r="D1" s="64"/>
      <c r="E1" s="64"/>
      <c r="F1" s="64"/>
      <c r="G1" s="64"/>
      <c r="H1" s="64"/>
    </row>
    <row r="3" spans="1:8" x14ac:dyDescent="0.3">
      <c r="A3" s="3" t="s">
        <v>0</v>
      </c>
      <c r="B3" s="3" t="s">
        <v>359</v>
      </c>
      <c r="C3" s="3" t="s">
        <v>360</v>
      </c>
      <c r="D3" s="3" t="s">
        <v>342</v>
      </c>
      <c r="E3" s="3" t="s">
        <v>361</v>
      </c>
      <c r="F3" s="3" t="s">
        <v>362</v>
      </c>
      <c r="G3" s="3" t="s">
        <v>363</v>
      </c>
      <c r="H3" s="3" t="s">
        <v>364</v>
      </c>
    </row>
    <row r="4" spans="1:8" x14ac:dyDescent="0.3">
      <c r="A4" s="30" t="s">
        <v>365</v>
      </c>
      <c r="B4" s="30" t="s">
        <v>366</v>
      </c>
      <c r="C4" s="31">
        <v>-23.81</v>
      </c>
      <c r="D4" s="31">
        <v>25</v>
      </c>
      <c r="E4" s="30">
        <v>6</v>
      </c>
      <c r="F4" s="31">
        <v>218.27</v>
      </c>
      <c r="G4" s="36">
        <f>ABS(C4/F4)</f>
        <v>0.10908507811426214</v>
      </c>
      <c r="H4" s="30" t="s">
        <v>367</v>
      </c>
    </row>
    <row r="5" spans="1:8" x14ac:dyDescent="0.3">
      <c r="A5" s="30"/>
      <c r="B5" s="30"/>
      <c r="C5" s="31"/>
      <c r="D5" s="31"/>
      <c r="E5" s="30"/>
      <c r="F5" s="31"/>
      <c r="G5" s="36"/>
      <c r="H5" s="30"/>
    </row>
    <row r="6" spans="1:8" x14ac:dyDescent="0.3">
      <c r="A6" s="30"/>
      <c r="B6" s="30"/>
      <c r="C6" s="31"/>
      <c r="D6" s="31"/>
      <c r="E6" s="30"/>
      <c r="F6" s="31"/>
      <c r="G6" s="36"/>
      <c r="H6" s="30"/>
    </row>
    <row r="7" spans="1:8" x14ac:dyDescent="0.3">
      <c r="A7" s="30"/>
      <c r="B7" s="30"/>
      <c r="C7" s="31"/>
      <c r="D7" s="31"/>
      <c r="E7" s="30"/>
      <c r="F7" s="31"/>
      <c r="G7" s="36"/>
      <c r="H7" s="30"/>
    </row>
    <row r="8" spans="1:8" x14ac:dyDescent="0.3">
      <c r="A8" s="30"/>
      <c r="B8" s="30"/>
      <c r="C8" s="31"/>
      <c r="D8" s="31"/>
      <c r="E8" s="30"/>
      <c r="F8" s="31"/>
      <c r="G8" s="36"/>
      <c r="H8" s="30"/>
    </row>
    <row r="9" spans="1:8" x14ac:dyDescent="0.3">
      <c r="A9" s="30"/>
      <c r="B9" s="30"/>
      <c r="C9" s="31"/>
      <c r="D9" s="31"/>
      <c r="E9" s="30"/>
      <c r="F9" s="31"/>
      <c r="G9" s="36"/>
      <c r="H9" s="30"/>
    </row>
    <row r="10" spans="1:8" x14ac:dyDescent="0.3">
      <c r="A10" s="30"/>
      <c r="B10" s="30"/>
      <c r="C10" s="31"/>
      <c r="D10" s="31"/>
      <c r="E10" s="30"/>
      <c r="F10" s="31"/>
      <c r="G10" s="36"/>
      <c r="H10" s="30"/>
    </row>
    <row r="11" spans="1:8" x14ac:dyDescent="0.3">
      <c r="A11" s="30"/>
      <c r="B11" s="30"/>
      <c r="C11" s="31"/>
      <c r="D11" s="31"/>
      <c r="E11" s="30"/>
      <c r="F11" s="31"/>
      <c r="G11" s="36"/>
      <c r="H11" s="30"/>
    </row>
    <row r="12" spans="1:8" x14ac:dyDescent="0.3">
      <c r="A12" s="30"/>
      <c r="B12" s="30"/>
      <c r="C12" s="31"/>
      <c r="D12" s="31"/>
      <c r="E12" s="30"/>
      <c r="F12" s="31"/>
      <c r="G12" s="36"/>
      <c r="H12" s="30"/>
    </row>
    <row r="13" spans="1:8" x14ac:dyDescent="0.3">
      <c r="A13" s="30"/>
      <c r="B13" s="30"/>
      <c r="C13" s="31"/>
      <c r="D13" s="31"/>
      <c r="E13" s="30"/>
      <c r="F13" s="31"/>
      <c r="G13" s="36"/>
      <c r="H13" s="30"/>
    </row>
    <row r="14" spans="1:8" x14ac:dyDescent="0.3">
      <c r="A14" s="30"/>
      <c r="B14" s="30"/>
      <c r="C14" s="31"/>
      <c r="D14" s="31"/>
      <c r="E14" s="30"/>
      <c r="F14" s="31"/>
      <c r="G14" s="36"/>
      <c r="H14" s="30"/>
    </row>
    <row r="15" spans="1:8" x14ac:dyDescent="0.3">
      <c r="A15" s="30"/>
      <c r="B15" s="30"/>
      <c r="C15" s="31"/>
      <c r="D15" s="31"/>
      <c r="E15" s="30"/>
      <c r="F15" s="31"/>
      <c r="G15" s="36"/>
      <c r="H15" s="30"/>
    </row>
    <row r="16" spans="1:8" x14ac:dyDescent="0.3">
      <c r="A16" s="30"/>
      <c r="B16" s="30"/>
      <c r="C16" s="31"/>
      <c r="D16" s="31"/>
      <c r="E16" s="30"/>
      <c r="F16" s="31"/>
      <c r="G16" s="36"/>
      <c r="H16" s="30"/>
    </row>
    <row r="17" spans="1:8" x14ac:dyDescent="0.3">
      <c r="A17" s="30"/>
      <c r="B17" s="30"/>
      <c r="C17" s="31"/>
      <c r="D17" s="31"/>
      <c r="E17" s="30"/>
      <c r="F17" s="31"/>
      <c r="G17" s="36"/>
      <c r="H17" s="30"/>
    </row>
    <row r="18" spans="1:8" x14ac:dyDescent="0.3">
      <c r="A18" s="30"/>
      <c r="B18" s="30"/>
      <c r="C18" s="31"/>
      <c r="D18" s="31"/>
      <c r="E18" s="30"/>
      <c r="F18" s="31"/>
      <c r="G18" s="36"/>
      <c r="H18" s="30"/>
    </row>
    <row r="19" spans="1:8" x14ac:dyDescent="0.3">
      <c r="A19" s="30"/>
      <c r="B19" s="30"/>
      <c r="C19" s="31"/>
      <c r="D19" s="31"/>
      <c r="E19" s="30"/>
      <c r="F19" s="31"/>
      <c r="G19" s="36"/>
      <c r="H19" s="30"/>
    </row>
    <row r="20" spans="1:8" x14ac:dyDescent="0.3">
      <c r="A20" s="30"/>
      <c r="B20" s="30"/>
      <c r="C20" s="31"/>
      <c r="D20" s="31"/>
      <c r="E20" s="30"/>
      <c r="F20" s="31"/>
      <c r="G20" s="36"/>
      <c r="H20" s="30"/>
    </row>
    <row r="21" spans="1:8" x14ac:dyDescent="0.3">
      <c r="A21" s="30"/>
      <c r="B21" s="30"/>
      <c r="C21" s="31"/>
      <c r="D21" s="31"/>
      <c r="E21" s="30"/>
      <c r="F21" s="31"/>
      <c r="G21" s="36"/>
      <c r="H21" s="30"/>
    </row>
    <row r="22" spans="1:8" x14ac:dyDescent="0.3">
      <c r="A22" s="30"/>
      <c r="B22" s="30"/>
      <c r="C22" s="31"/>
      <c r="D22" s="31"/>
      <c r="E22" s="30"/>
      <c r="F22" s="31"/>
      <c r="G22" s="36"/>
      <c r="H22" s="30"/>
    </row>
    <row r="23" spans="1:8" x14ac:dyDescent="0.3">
      <c r="A23" s="30"/>
      <c r="B23" s="30"/>
      <c r="C23" s="31"/>
      <c r="D23" s="31"/>
      <c r="E23" s="30"/>
      <c r="F23" s="31"/>
      <c r="G23" s="36"/>
      <c r="H23" s="30"/>
    </row>
    <row r="24" spans="1:8" x14ac:dyDescent="0.3">
      <c r="A24" s="30"/>
      <c r="B24" s="30"/>
      <c r="C24" s="31"/>
      <c r="D24" s="31"/>
      <c r="E24" s="30"/>
      <c r="F24" s="31"/>
      <c r="G24" s="36"/>
      <c r="H24" s="30"/>
    </row>
    <row r="25" spans="1:8" x14ac:dyDescent="0.3">
      <c r="A25" s="30"/>
      <c r="B25" s="30"/>
      <c r="C25" s="31"/>
      <c r="D25" s="31"/>
      <c r="E25" s="30"/>
      <c r="F25" s="31"/>
      <c r="G25" s="36"/>
      <c r="H25" s="30"/>
    </row>
    <row r="26" spans="1:8" x14ac:dyDescent="0.3">
      <c r="A26" s="30"/>
      <c r="B26" s="30"/>
      <c r="C26" s="31"/>
      <c r="D26" s="31"/>
      <c r="E26" s="30"/>
      <c r="F26" s="31"/>
      <c r="G26" s="36"/>
      <c r="H26" s="30"/>
    </row>
    <row r="27" spans="1:8" x14ac:dyDescent="0.3">
      <c r="A27" s="30"/>
      <c r="B27" s="30"/>
      <c r="C27" s="31"/>
      <c r="D27" s="31"/>
      <c r="E27" s="30"/>
      <c r="F27" s="31"/>
      <c r="G27" s="36"/>
      <c r="H27" s="30"/>
    </row>
    <row r="28" spans="1:8" x14ac:dyDescent="0.3">
      <c r="A28" s="30"/>
      <c r="B28" s="30"/>
      <c r="C28" s="31"/>
      <c r="D28" s="31"/>
      <c r="E28" s="30"/>
      <c r="F28" s="31"/>
      <c r="G28" s="36"/>
      <c r="H28" s="30"/>
    </row>
    <row r="29" spans="1:8" x14ac:dyDescent="0.3">
      <c r="A29" s="30"/>
      <c r="B29" s="30"/>
      <c r="C29" s="31"/>
      <c r="D29" s="31"/>
      <c r="E29" s="30"/>
      <c r="F29" s="31"/>
      <c r="G29" s="36"/>
      <c r="H29" s="30"/>
    </row>
  </sheetData>
  <sheetProtection sheet="1"/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3"/>
  <sheetViews>
    <sheetView showGridLines="0" workbookViewId="0">
      <selection activeCell="A4" sqref="A4"/>
    </sheetView>
  </sheetViews>
  <sheetFormatPr defaultRowHeight="14.4" x14ac:dyDescent="0.3"/>
  <cols>
    <col min="1" max="5" width="14" customWidth="1"/>
    <col min="6" max="6" width="28" customWidth="1"/>
  </cols>
  <sheetData>
    <row r="1" spans="1:6" ht="18" customHeight="1" x14ac:dyDescent="0.35">
      <c r="A1" s="72" t="s">
        <v>184</v>
      </c>
      <c r="B1" s="64"/>
      <c r="C1" s="64"/>
      <c r="D1" s="64"/>
      <c r="E1" s="64"/>
      <c r="F1" s="64"/>
    </row>
    <row r="3" spans="1:6" x14ac:dyDescent="0.3">
      <c r="A3" s="3" t="s">
        <v>0</v>
      </c>
      <c r="B3" s="3" t="s">
        <v>368</v>
      </c>
      <c r="C3" s="3" t="s">
        <v>369</v>
      </c>
      <c r="D3" s="3" t="s">
        <v>370</v>
      </c>
      <c r="E3" s="3" t="s">
        <v>371</v>
      </c>
      <c r="F3" s="3" t="s">
        <v>132</v>
      </c>
    </row>
    <row r="4" spans="1:6" x14ac:dyDescent="0.3">
      <c r="A4" s="30"/>
      <c r="B4" s="31"/>
      <c r="C4" s="31"/>
      <c r="D4" s="32" t="str">
        <f t="shared" ref="D4:D35" si="0">IF(OR(B4="",C4=""),"",B4-C4)</f>
        <v/>
      </c>
      <c r="E4" s="33" t="str">
        <f t="shared" ref="E4:E35" si="1">IF(OR(B4="",D4=""),"",D4/B4)</f>
        <v/>
      </c>
      <c r="F4" s="30"/>
    </row>
    <row r="5" spans="1:6" x14ac:dyDescent="0.3">
      <c r="A5" s="30"/>
      <c r="B5" s="31"/>
      <c r="C5" s="31"/>
      <c r="D5" s="32" t="str">
        <f t="shared" si="0"/>
        <v/>
      </c>
      <c r="E5" s="33" t="str">
        <f t="shared" si="1"/>
        <v/>
      </c>
      <c r="F5" s="30"/>
    </row>
    <row r="6" spans="1:6" x14ac:dyDescent="0.3">
      <c r="A6" s="30"/>
      <c r="B6" s="31"/>
      <c r="C6" s="31"/>
      <c r="D6" s="32" t="str">
        <f t="shared" si="0"/>
        <v/>
      </c>
      <c r="E6" s="33" t="str">
        <f t="shared" si="1"/>
        <v/>
      </c>
      <c r="F6" s="30"/>
    </row>
    <row r="7" spans="1:6" x14ac:dyDescent="0.3">
      <c r="A7" s="30"/>
      <c r="B7" s="31"/>
      <c r="C7" s="31"/>
      <c r="D7" s="32" t="str">
        <f t="shared" si="0"/>
        <v/>
      </c>
      <c r="E7" s="33" t="str">
        <f t="shared" si="1"/>
        <v/>
      </c>
      <c r="F7" s="30"/>
    </row>
    <row r="8" spans="1:6" x14ac:dyDescent="0.3">
      <c r="A8" s="30"/>
      <c r="B8" s="31"/>
      <c r="C8" s="31"/>
      <c r="D8" s="32" t="str">
        <f t="shared" si="0"/>
        <v/>
      </c>
      <c r="E8" s="33" t="str">
        <f t="shared" si="1"/>
        <v/>
      </c>
      <c r="F8" s="30"/>
    </row>
    <row r="9" spans="1:6" x14ac:dyDescent="0.3">
      <c r="A9" s="30"/>
      <c r="B9" s="31"/>
      <c r="C9" s="31"/>
      <c r="D9" s="32" t="str">
        <f t="shared" si="0"/>
        <v/>
      </c>
      <c r="E9" s="33" t="str">
        <f t="shared" si="1"/>
        <v/>
      </c>
      <c r="F9" s="30"/>
    </row>
    <row r="10" spans="1:6" x14ac:dyDescent="0.3">
      <c r="A10" s="30"/>
      <c r="B10" s="31"/>
      <c r="C10" s="31"/>
      <c r="D10" s="32" t="str">
        <f t="shared" si="0"/>
        <v/>
      </c>
      <c r="E10" s="33" t="str">
        <f t="shared" si="1"/>
        <v/>
      </c>
      <c r="F10" s="30"/>
    </row>
    <row r="11" spans="1:6" x14ac:dyDescent="0.3">
      <c r="A11" s="30"/>
      <c r="B11" s="31"/>
      <c r="C11" s="31"/>
      <c r="D11" s="32" t="str">
        <f t="shared" si="0"/>
        <v/>
      </c>
      <c r="E11" s="33" t="str">
        <f t="shared" si="1"/>
        <v/>
      </c>
      <c r="F11" s="30"/>
    </row>
    <row r="12" spans="1:6" x14ac:dyDescent="0.3">
      <c r="A12" s="30"/>
      <c r="B12" s="31"/>
      <c r="C12" s="31"/>
      <c r="D12" s="32" t="str">
        <f t="shared" si="0"/>
        <v/>
      </c>
      <c r="E12" s="33" t="str">
        <f t="shared" si="1"/>
        <v/>
      </c>
      <c r="F12" s="30"/>
    </row>
    <row r="13" spans="1:6" x14ac:dyDescent="0.3">
      <c r="A13" s="30"/>
      <c r="B13" s="31"/>
      <c r="C13" s="31"/>
      <c r="D13" s="32" t="str">
        <f t="shared" si="0"/>
        <v/>
      </c>
      <c r="E13" s="33" t="str">
        <f t="shared" si="1"/>
        <v/>
      </c>
      <c r="F13" s="30"/>
    </row>
    <row r="14" spans="1:6" x14ac:dyDescent="0.3">
      <c r="A14" s="30"/>
      <c r="B14" s="31"/>
      <c r="C14" s="31"/>
      <c r="D14" s="32" t="str">
        <f t="shared" si="0"/>
        <v/>
      </c>
      <c r="E14" s="33" t="str">
        <f t="shared" si="1"/>
        <v/>
      </c>
      <c r="F14" s="30"/>
    </row>
    <row r="15" spans="1:6" x14ac:dyDescent="0.3">
      <c r="A15" s="30"/>
      <c r="B15" s="31"/>
      <c r="C15" s="31"/>
      <c r="D15" s="32" t="str">
        <f t="shared" si="0"/>
        <v/>
      </c>
      <c r="E15" s="33" t="str">
        <f t="shared" si="1"/>
        <v/>
      </c>
      <c r="F15" s="30"/>
    </row>
    <row r="16" spans="1:6" x14ac:dyDescent="0.3">
      <c r="A16" s="30"/>
      <c r="B16" s="31"/>
      <c r="C16" s="31"/>
      <c r="D16" s="32" t="str">
        <f t="shared" si="0"/>
        <v/>
      </c>
      <c r="E16" s="33" t="str">
        <f t="shared" si="1"/>
        <v/>
      </c>
      <c r="F16" s="30"/>
    </row>
    <row r="17" spans="1:6" x14ac:dyDescent="0.3">
      <c r="A17" s="30"/>
      <c r="B17" s="31"/>
      <c r="C17" s="31"/>
      <c r="D17" s="32" t="str">
        <f t="shared" si="0"/>
        <v/>
      </c>
      <c r="E17" s="33" t="str">
        <f t="shared" si="1"/>
        <v/>
      </c>
      <c r="F17" s="30"/>
    </row>
    <row r="18" spans="1:6" x14ac:dyDescent="0.3">
      <c r="A18" s="30"/>
      <c r="B18" s="31"/>
      <c r="C18" s="31"/>
      <c r="D18" s="32" t="str">
        <f t="shared" si="0"/>
        <v/>
      </c>
      <c r="E18" s="33" t="str">
        <f t="shared" si="1"/>
        <v/>
      </c>
      <c r="F18" s="30"/>
    </row>
    <row r="19" spans="1:6" x14ac:dyDescent="0.3">
      <c r="A19" s="30"/>
      <c r="B19" s="31"/>
      <c r="C19" s="31"/>
      <c r="D19" s="32" t="str">
        <f t="shared" si="0"/>
        <v/>
      </c>
      <c r="E19" s="33" t="str">
        <f t="shared" si="1"/>
        <v/>
      </c>
      <c r="F19" s="30"/>
    </row>
    <row r="20" spans="1:6" x14ac:dyDescent="0.3">
      <c r="A20" s="30"/>
      <c r="B20" s="31"/>
      <c r="C20" s="31"/>
      <c r="D20" s="32" t="str">
        <f t="shared" si="0"/>
        <v/>
      </c>
      <c r="E20" s="33" t="str">
        <f t="shared" si="1"/>
        <v/>
      </c>
      <c r="F20" s="30"/>
    </row>
    <row r="21" spans="1:6" x14ac:dyDescent="0.3">
      <c r="A21" s="30"/>
      <c r="B21" s="31"/>
      <c r="C21" s="31"/>
      <c r="D21" s="32" t="str">
        <f t="shared" si="0"/>
        <v/>
      </c>
      <c r="E21" s="33" t="str">
        <f t="shared" si="1"/>
        <v/>
      </c>
      <c r="F21" s="30"/>
    </row>
    <row r="22" spans="1:6" x14ac:dyDescent="0.3">
      <c r="A22" s="30"/>
      <c r="B22" s="31"/>
      <c r="C22" s="31"/>
      <c r="D22" s="32" t="str">
        <f t="shared" si="0"/>
        <v/>
      </c>
      <c r="E22" s="33" t="str">
        <f t="shared" si="1"/>
        <v/>
      </c>
      <c r="F22" s="30"/>
    </row>
    <row r="23" spans="1:6" x14ac:dyDescent="0.3">
      <c r="A23" s="30"/>
      <c r="B23" s="31"/>
      <c r="C23" s="31"/>
      <c r="D23" s="32" t="str">
        <f t="shared" si="0"/>
        <v/>
      </c>
      <c r="E23" s="33" t="str">
        <f t="shared" si="1"/>
        <v/>
      </c>
      <c r="F23" s="30"/>
    </row>
    <row r="24" spans="1:6" x14ac:dyDescent="0.3">
      <c r="A24" s="30"/>
      <c r="B24" s="31"/>
      <c r="C24" s="31"/>
      <c r="D24" s="32" t="str">
        <f t="shared" si="0"/>
        <v/>
      </c>
      <c r="E24" s="33" t="str">
        <f t="shared" si="1"/>
        <v/>
      </c>
      <c r="F24" s="30"/>
    </row>
    <row r="25" spans="1:6" x14ac:dyDescent="0.3">
      <c r="A25" s="30"/>
      <c r="B25" s="31"/>
      <c r="C25" s="31"/>
      <c r="D25" s="32" t="str">
        <f t="shared" si="0"/>
        <v/>
      </c>
      <c r="E25" s="33" t="str">
        <f t="shared" si="1"/>
        <v/>
      </c>
      <c r="F25" s="30"/>
    </row>
    <row r="26" spans="1:6" x14ac:dyDescent="0.3">
      <c r="A26" s="30"/>
      <c r="B26" s="31"/>
      <c r="C26" s="31"/>
      <c r="D26" s="32" t="str">
        <f t="shared" si="0"/>
        <v/>
      </c>
      <c r="E26" s="33" t="str">
        <f t="shared" si="1"/>
        <v/>
      </c>
      <c r="F26" s="30"/>
    </row>
    <row r="27" spans="1:6" x14ac:dyDescent="0.3">
      <c r="A27" s="30"/>
      <c r="B27" s="31"/>
      <c r="C27" s="31"/>
      <c r="D27" s="32" t="str">
        <f t="shared" si="0"/>
        <v/>
      </c>
      <c r="E27" s="33" t="str">
        <f t="shared" si="1"/>
        <v/>
      </c>
      <c r="F27" s="30"/>
    </row>
    <row r="28" spans="1:6" x14ac:dyDescent="0.3">
      <c r="A28" s="30"/>
      <c r="B28" s="31"/>
      <c r="C28" s="31"/>
      <c r="D28" s="32" t="str">
        <f t="shared" si="0"/>
        <v/>
      </c>
      <c r="E28" s="33" t="str">
        <f t="shared" si="1"/>
        <v/>
      </c>
      <c r="F28" s="30"/>
    </row>
    <row r="29" spans="1:6" x14ac:dyDescent="0.3">
      <c r="A29" s="30"/>
      <c r="B29" s="31"/>
      <c r="C29" s="31"/>
      <c r="D29" s="32" t="str">
        <f t="shared" si="0"/>
        <v/>
      </c>
      <c r="E29" s="33" t="str">
        <f t="shared" si="1"/>
        <v/>
      </c>
      <c r="F29" s="30"/>
    </row>
    <row r="30" spans="1:6" x14ac:dyDescent="0.3">
      <c r="A30" s="30"/>
      <c r="B30" s="31"/>
      <c r="C30" s="31"/>
      <c r="D30" s="32" t="str">
        <f t="shared" si="0"/>
        <v/>
      </c>
      <c r="E30" s="33" t="str">
        <f t="shared" si="1"/>
        <v/>
      </c>
      <c r="F30" s="30"/>
    </row>
    <row r="31" spans="1:6" x14ac:dyDescent="0.3">
      <c r="A31" s="30"/>
      <c r="B31" s="31"/>
      <c r="C31" s="31"/>
      <c r="D31" s="32" t="str">
        <f t="shared" si="0"/>
        <v/>
      </c>
      <c r="E31" s="33" t="str">
        <f t="shared" si="1"/>
        <v/>
      </c>
      <c r="F31" s="30"/>
    </row>
    <row r="32" spans="1:6" x14ac:dyDescent="0.3">
      <c r="A32" s="30"/>
      <c r="B32" s="31"/>
      <c r="C32" s="31"/>
      <c r="D32" s="32" t="str">
        <f t="shared" si="0"/>
        <v/>
      </c>
      <c r="E32" s="33" t="str">
        <f t="shared" si="1"/>
        <v/>
      </c>
      <c r="F32" s="30"/>
    </row>
    <row r="33" spans="1:6" x14ac:dyDescent="0.3">
      <c r="A33" s="30"/>
      <c r="B33" s="31"/>
      <c r="C33" s="31"/>
      <c r="D33" s="32" t="str">
        <f t="shared" si="0"/>
        <v/>
      </c>
      <c r="E33" s="33" t="str">
        <f t="shared" si="1"/>
        <v/>
      </c>
      <c r="F33" s="30"/>
    </row>
    <row r="34" spans="1:6" x14ac:dyDescent="0.3">
      <c r="A34" s="30"/>
      <c r="B34" s="31"/>
      <c r="C34" s="31"/>
      <c r="D34" s="32" t="str">
        <f t="shared" si="0"/>
        <v/>
      </c>
      <c r="E34" s="33" t="str">
        <f t="shared" si="1"/>
        <v/>
      </c>
      <c r="F34" s="30"/>
    </row>
    <row r="35" spans="1:6" x14ac:dyDescent="0.3">
      <c r="A35" s="30"/>
      <c r="B35" s="31"/>
      <c r="C35" s="31"/>
      <c r="D35" s="32" t="str">
        <f t="shared" si="0"/>
        <v/>
      </c>
      <c r="E35" s="33" t="str">
        <f t="shared" si="1"/>
        <v/>
      </c>
      <c r="F35" s="30"/>
    </row>
    <row r="36" spans="1:6" x14ac:dyDescent="0.3">
      <c r="A36" s="30"/>
      <c r="B36" s="31"/>
      <c r="C36" s="31"/>
      <c r="D36" s="32" t="str">
        <f t="shared" ref="D36:D67" si="2">IF(OR(B36="",C36=""),"",B36-C36)</f>
        <v/>
      </c>
      <c r="E36" s="33" t="str">
        <f t="shared" ref="E36:E67" si="3">IF(OR(B36="",D36=""),"",D36/B36)</f>
        <v/>
      </c>
      <c r="F36" s="30"/>
    </row>
    <row r="37" spans="1:6" x14ac:dyDescent="0.3">
      <c r="A37" s="30"/>
      <c r="B37" s="31"/>
      <c r="C37" s="31"/>
      <c r="D37" s="32" t="str">
        <f t="shared" si="2"/>
        <v/>
      </c>
      <c r="E37" s="33" t="str">
        <f t="shared" si="3"/>
        <v/>
      </c>
      <c r="F37" s="30"/>
    </row>
    <row r="38" spans="1:6" x14ac:dyDescent="0.3">
      <c r="A38" s="30"/>
      <c r="B38" s="31"/>
      <c r="C38" s="31"/>
      <c r="D38" s="32" t="str">
        <f t="shared" si="2"/>
        <v/>
      </c>
      <c r="E38" s="33" t="str">
        <f t="shared" si="3"/>
        <v/>
      </c>
      <c r="F38" s="30"/>
    </row>
    <row r="39" spans="1:6" x14ac:dyDescent="0.3">
      <c r="A39" s="30"/>
      <c r="B39" s="31"/>
      <c r="C39" s="31"/>
      <c r="D39" s="32" t="str">
        <f t="shared" si="2"/>
        <v/>
      </c>
      <c r="E39" s="33" t="str">
        <f t="shared" si="3"/>
        <v/>
      </c>
      <c r="F39" s="30"/>
    </row>
    <row r="40" spans="1:6" x14ac:dyDescent="0.3">
      <c r="A40" s="30"/>
      <c r="B40" s="31"/>
      <c r="C40" s="31"/>
      <c r="D40" s="32" t="str">
        <f t="shared" si="2"/>
        <v/>
      </c>
      <c r="E40" s="33" t="str">
        <f t="shared" si="3"/>
        <v/>
      </c>
      <c r="F40" s="30"/>
    </row>
    <row r="41" spans="1:6" x14ac:dyDescent="0.3">
      <c r="A41" s="30"/>
      <c r="B41" s="31"/>
      <c r="C41" s="31"/>
      <c r="D41" s="32" t="str">
        <f t="shared" si="2"/>
        <v/>
      </c>
      <c r="E41" s="33" t="str">
        <f t="shared" si="3"/>
        <v/>
      </c>
      <c r="F41" s="30"/>
    </row>
    <row r="42" spans="1:6" x14ac:dyDescent="0.3">
      <c r="A42" s="30"/>
      <c r="B42" s="31"/>
      <c r="C42" s="31"/>
      <c r="D42" s="32" t="str">
        <f t="shared" si="2"/>
        <v/>
      </c>
      <c r="E42" s="33" t="str">
        <f t="shared" si="3"/>
        <v/>
      </c>
      <c r="F42" s="30"/>
    </row>
    <row r="43" spans="1:6" x14ac:dyDescent="0.3">
      <c r="A43" s="30"/>
      <c r="B43" s="31"/>
      <c r="C43" s="31"/>
      <c r="D43" s="32" t="str">
        <f t="shared" si="2"/>
        <v/>
      </c>
      <c r="E43" s="33" t="str">
        <f t="shared" si="3"/>
        <v/>
      </c>
      <c r="F43" s="30"/>
    </row>
    <row r="44" spans="1:6" x14ac:dyDescent="0.3">
      <c r="A44" s="30"/>
      <c r="B44" s="31"/>
      <c r="C44" s="31"/>
      <c r="D44" s="32" t="str">
        <f t="shared" si="2"/>
        <v/>
      </c>
      <c r="E44" s="33" t="str">
        <f t="shared" si="3"/>
        <v/>
      </c>
      <c r="F44" s="30"/>
    </row>
    <row r="45" spans="1:6" x14ac:dyDescent="0.3">
      <c r="A45" s="30"/>
      <c r="B45" s="31"/>
      <c r="C45" s="31"/>
      <c r="D45" s="32" t="str">
        <f t="shared" si="2"/>
        <v/>
      </c>
      <c r="E45" s="33" t="str">
        <f t="shared" si="3"/>
        <v/>
      </c>
      <c r="F45" s="30"/>
    </row>
    <row r="46" spans="1:6" x14ac:dyDescent="0.3">
      <c r="A46" s="30"/>
      <c r="B46" s="31"/>
      <c r="C46" s="31"/>
      <c r="D46" s="32" t="str">
        <f t="shared" si="2"/>
        <v/>
      </c>
      <c r="E46" s="33" t="str">
        <f t="shared" si="3"/>
        <v/>
      </c>
      <c r="F46" s="30"/>
    </row>
    <row r="47" spans="1:6" x14ac:dyDescent="0.3">
      <c r="A47" s="30"/>
      <c r="B47" s="31"/>
      <c r="C47" s="31"/>
      <c r="D47" s="32" t="str">
        <f t="shared" si="2"/>
        <v/>
      </c>
      <c r="E47" s="33" t="str">
        <f t="shared" si="3"/>
        <v/>
      </c>
      <c r="F47" s="30"/>
    </row>
    <row r="48" spans="1:6" x14ac:dyDescent="0.3">
      <c r="A48" s="30"/>
      <c r="B48" s="31"/>
      <c r="C48" s="31"/>
      <c r="D48" s="32" t="str">
        <f t="shared" si="2"/>
        <v/>
      </c>
      <c r="E48" s="33" t="str">
        <f t="shared" si="3"/>
        <v/>
      </c>
      <c r="F48" s="30"/>
    </row>
    <row r="49" spans="1:6" x14ac:dyDescent="0.3">
      <c r="A49" s="30"/>
      <c r="B49" s="31"/>
      <c r="C49" s="31"/>
      <c r="D49" s="32" t="str">
        <f t="shared" si="2"/>
        <v/>
      </c>
      <c r="E49" s="33" t="str">
        <f t="shared" si="3"/>
        <v/>
      </c>
      <c r="F49" s="30"/>
    </row>
    <row r="50" spans="1:6" x14ac:dyDescent="0.3">
      <c r="A50" s="30"/>
      <c r="B50" s="31"/>
      <c r="C50" s="31"/>
      <c r="D50" s="32" t="str">
        <f t="shared" si="2"/>
        <v/>
      </c>
      <c r="E50" s="33" t="str">
        <f t="shared" si="3"/>
        <v/>
      </c>
      <c r="F50" s="30"/>
    </row>
    <row r="51" spans="1:6" x14ac:dyDescent="0.3">
      <c r="A51" s="30"/>
      <c r="B51" s="31"/>
      <c r="C51" s="31"/>
      <c r="D51" s="32" t="str">
        <f t="shared" si="2"/>
        <v/>
      </c>
      <c r="E51" s="33" t="str">
        <f t="shared" si="3"/>
        <v/>
      </c>
      <c r="F51" s="30"/>
    </row>
    <row r="52" spans="1:6" x14ac:dyDescent="0.3">
      <c r="A52" s="30"/>
      <c r="B52" s="31"/>
      <c r="C52" s="31"/>
      <c r="D52" s="32" t="str">
        <f t="shared" si="2"/>
        <v/>
      </c>
      <c r="E52" s="33" t="str">
        <f t="shared" si="3"/>
        <v/>
      </c>
      <c r="F52" s="30"/>
    </row>
    <row r="53" spans="1:6" x14ac:dyDescent="0.3">
      <c r="A53" s="30"/>
      <c r="B53" s="31"/>
      <c r="C53" s="31"/>
      <c r="D53" s="32" t="str">
        <f t="shared" si="2"/>
        <v/>
      </c>
      <c r="E53" s="33" t="str">
        <f t="shared" si="3"/>
        <v/>
      </c>
      <c r="F53" s="30"/>
    </row>
    <row r="54" spans="1:6" x14ac:dyDescent="0.3">
      <c r="A54" s="30"/>
      <c r="B54" s="31"/>
      <c r="C54" s="31"/>
      <c r="D54" s="32" t="str">
        <f t="shared" si="2"/>
        <v/>
      </c>
      <c r="E54" s="33" t="str">
        <f t="shared" si="3"/>
        <v/>
      </c>
      <c r="F54" s="30"/>
    </row>
    <row r="55" spans="1:6" x14ac:dyDescent="0.3">
      <c r="A55" s="30"/>
      <c r="B55" s="31"/>
      <c r="C55" s="31"/>
      <c r="D55" s="32" t="str">
        <f t="shared" si="2"/>
        <v/>
      </c>
      <c r="E55" s="33" t="str">
        <f t="shared" si="3"/>
        <v/>
      </c>
      <c r="F55" s="30"/>
    </row>
    <row r="56" spans="1:6" x14ac:dyDescent="0.3">
      <c r="A56" s="30"/>
      <c r="B56" s="31"/>
      <c r="C56" s="31"/>
      <c r="D56" s="32" t="str">
        <f t="shared" si="2"/>
        <v/>
      </c>
      <c r="E56" s="33" t="str">
        <f t="shared" si="3"/>
        <v/>
      </c>
      <c r="F56" s="30"/>
    </row>
    <row r="57" spans="1:6" x14ac:dyDescent="0.3">
      <c r="A57" s="30"/>
      <c r="B57" s="31"/>
      <c r="C57" s="31"/>
      <c r="D57" s="32" t="str">
        <f t="shared" si="2"/>
        <v/>
      </c>
      <c r="E57" s="33" t="str">
        <f t="shared" si="3"/>
        <v/>
      </c>
      <c r="F57" s="30"/>
    </row>
    <row r="58" spans="1:6" x14ac:dyDescent="0.3">
      <c r="A58" s="30"/>
      <c r="B58" s="31"/>
      <c r="C58" s="31"/>
      <c r="D58" s="32" t="str">
        <f t="shared" si="2"/>
        <v/>
      </c>
      <c r="E58" s="33" t="str">
        <f t="shared" si="3"/>
        <v/>
      </c>
      <c r="F58" s="30"/>
    </row>
    <row r="59" spans="1:6" x14ac:dyDescent="0.3">
      <c r="A59" s="30"/>
      <c r="B59" s="31"/>
      <c r="C59" s="31"/>
      <c r="D59" s="32" t="str">
        <f t="shared" si="2"/>
        <v/>
      </c>
      <c r="E59" s="33" t="str">
        <f t="shared" si="3"/>
        <v/>
      </c>
      <c r="F59" s="30"/>
    </row>
    <row r="60" spans="1:6" x14ac:dyDescent="0.3">
      <c r="A60" s="30"/>
      <c r="B60" s="31"/>
      <c r="C60" s="31"/>
      <c r="D60" s="32" t="str">
        <f t="shared" si="2"/>
        <v/>
      </c>
      <c r="E60" s="33" t="str">
        <f t="shared" si="3"/>
        <v/>
      </c>
      <c r="F60" s="30"/>
    </row>
    <row r="61" spans="1:6" x14ac:dyDescent="0.3">
      <c r="A61" s="30"/>
      <c r="B61" s="31"/>
      <c r="C61" s="31"/>
      <c r="D61" s="32" t="str">
        <f t="shared" si="2"/>
        <v/>
      </c>
      <c r="E61" s="33" t="str">
        <f t="shared" si="3"/>
        <v/>
      </c>
      <c r="F61" s="30"/>
    </row>
    <row r="62" spans="1:6" x14ac:dyDescent="0.3">
      <c r="A62" s="30"/>
      <c r="B62" s="31"/>
      <c r="C62" s="31"/>
      <c r="D62" s="32" t="str">
        <f t="shared" si="2"/>
        <v/>
      </c>
      <c r="E62" s="33" t="str">
        <f t="shared" si="3"/>
        <v/>
      </c>
      <c r="F62" s="30"/>
    </row>
    <row r="63" spans="1:6" x14ac:dyDescent="0.3">
      <c r="A63" s="30"/>
      <c r="B63" s="31"/>
      <c r="C63" s="31"/>
      <c r="D63" s="32" t="str">
        <f t="shared" si="2"/>
        <v/>
      </c>
      <c r="E63" s="33" t="str">
        <f t="shared" si="3"/>
        <v/>
      </c>
      <c r="F63" s="30"/>
    </row>
    <row r="64" spans="1:6" x14ac:dyDescent="0.3">
      <c r="A64" s="30"/>
      <c r="B64" s="31"/>
      <c r="C64" s="31"/>
      <c r="D64" s="32" t="str">
        <f t="shared" si="2"/>
        <v/>
      </c>
      <c r="E64" s="33" t="str">
        <f t="shared" si="3"/>
        <v/>
      </c>
      <c r="F64" s="30"/>
    </row>
    <row r="65" spans="1:6" x14ac:dyDescent="0.3">
      <c r="A65" s="30"/>
      <c r="B65" s="31"/>
      <c r="C65" s="31"/>
      <c r="D65" s="32" t="str">
        <f t="shared" si="2"/>
        <v/>
      </c>
      <c r="E65" s="33" t="str">
        <f t="shared" si="3"/>
        <v/>
      </c>
      <c r="F65" s="30"/>
    </row>
    <row r="66" spans="1:6" x14ac:dyDescent="0.3">
      <c r="A66" s="30"/>
      <c r="B66" s="31"/>
      <c r="C66" s="31"/>
      <c r="D66" s="32" t="str">
        <f t="shared" si="2"/>
        <v/>
      </c>
      <c r="E66" s="33" t="str">
        <f t="shared" si="3"/>
        <v/>
      </c>
      <c r="F66" s="30"/>
    </row>
    <row r="67" spans="1:6" x14ac:dyDescent="0.3">
      <c r="A67" s="30"/>
      <c r="B67" s="31"/>
      <c r="C67" s="31"/>
      <c r="D67" s="32" t="str">
        <f t="shared" si="2"/>
        <v/>
      </c>
      <c r="E67" s="33" t="str">
        <f t="shared" si="3"/>
        <v/>
      </c>
      <c r="F67" s="30"/>
    </row>
    <row r="68" spans="1:6" x14ac:dyDescent="0.3">
      <c r="A68" s="30"/>
      <c r="B68" s="31"/>
      <c r="C68" s="31"/>
      <c r="D68" s="32" t="str">
        <f t="shared" ref="D68:D99" si="4">IF(OR(B68="",C68=""),"",B68-C68)</f>
        <v/>
      </c>
      <c r="E68" s="33" t="str">
        <f t="shared" ref="E68:E99" si="5">IF(OR(B68="",D68=""),"",D68/B68)</f>
        <v/>
      </c>
      <c r="F68" s="30"/>
    </row>
    <row r="69" spans="1:6" x14ac:dyDescent="0.3">
      <c r="A69" s="30"/>
      <c r="B69" s="31"/>
      <c r="C69" s="31"/>
      <c r="D69" s="32" t="str">
        <f t="shared" si="4"/>
        <v/>
      </c>
      <c r="E69" s="33" t="str">
        <f t="shared" si="5"/>
        <v/>
      </c>
      <c r="F69" s="30"/>
    </row>
    <row r="70" spans="1:6" x14ac:dyDescent="0.3">
      <c r="A70" s="30"/>
      <c r="B70" s="31"/>
      <c r="C70" s="31"/>
      <c r="D70" s="32" t="str">
        <f t="shared" si="4"/>
        <v/>
      </c>
      <c r="E70" s="33" t="str">
        <f t="shared" si="5"/>
        <v/>
      </c>
      <c r="F70" s="30"/>
    </row>
    <row r="71" spans="1:6" x14ac:dyDescent="0.3">
      <c r="A71" s="30"/>
      <c r="B71" s="31"/>
      <c r="C71" s="31"/>
      <c r="D71" s="32" t="str">
        <f t="shared" si="4"/>
        <v/>
      </c>
      <c r="E71" s="33" t="str">
        <f t="shared" si="5"/>
        <v/>
      </c>
      <c r="F71" s="30"/>
    </row>
    <row r="72" spans="1:6" x14ac:dyDescent="0.3">
      <c r="A72" s="30"/>
      <c r="B72" s="31"/>
      <c r="C72" s="31"/>
      <c r="D72" s="32" t="str">
        <f t="shared" si="4"/>
        <v/>
      </c>
      <c r="E72" s="33" t="str">
        <f t="shared" si="5"/>
        <v/>
      </c>
      <c r="F72" s="30"/>
    </row>
    <row r="73" spans="1:6" x14ac:dyDescent="0.3">
      <c r="A73" s="30"/>
      <c r="B73" s="31"/>
      <c r="C73" s="31"/>
      <c r="D73" s="32" t="str">
        <f t="shared" si="4"/>
        <v/>
      </c>
      <c r="E73" s="33" t="str">
        <f t="shared" si="5"/>
        <v/>
      </c>
      <c r="F73" s="30"/>
    </row>
    <row r="74" spans="1:6" x14ac:dyDescent="0.3">
      <c r="A74" s="30"/>
      <c r="B74" s="31"/>
      <c r="C74" s="31"/>
      <c r="D74" s="32" t="str">
        <f t="shared" si="4"/>
        <v/>
      </c>
      <c r="E74" s="33" t="str">
        <f t="shared" si="5"/>
        <v/>
      </c>
      <c r="F74" s="30"/>
    </row>
    <row r="75" spans="1:6" x14ac:dyDescent="0.3">
      <c r="A75" s="30"/>
      <c r="B75" s="31"/>
      <c r="C75" s="31"/>
      <c r="D75" s="32" t="str">
        <f t="shared" si="4"/>
        <v/>
      </c>
      <c r="E75" s="33" t="str">
        <f t="shared" si="5"/>
        <v/>
      </c>
      <c r="F75" s="30"/>
    </row>
    <row r="76" spans="1:6" x14ac:dyDescent="0.3">
      <c r="A76" s="30"/>
      <c r="B76" s="31"/>
      <c r="C76" s="31"/>
      <c r="D76" s="32" t="str">
        <f t="shared" si="4"/>
        <v/>
      </c>
      <c r="E76" s="33" t="str">
        <f t="shared" si="5"/>
        <v/>
      </c>
      <c r="F76" s="30"/>
    </row>
    <row r="77" spans="1:6" x14ac:dyDescent="0.3">
      <c r="A77" s="30"/>
      <c r="B77" s="31"/>
      <c r="C77" s="31"/>
      <c r="D77" s="32" t="str">
        <f t="shared" si="4"/>
        <v/>
      </c>
      <c r="E77" s="33" t="str">
        <f t="shared" si="5"/>
        <v/>
      </c>
      <c r="F77" s="30"/>
    </row>
    <row r="78" spans="1:6" x14ac:dyDescent="0.3">
      <c r="A78" s="30"/>
      <c r="B78" s="31"/>
      <c r="C78" s="31"/>
      <c r="D78" s="32" t="str">
        <f t="shared" si="4"/>
        <v/>
      </c>
      <c r="E78" s="33" t="str">
        <f t="shared" si="5"/>
        <v/>
      </c>
      <c r="F78" s="30"/>
    </row>
    <row r="79" spans="1:6" x14ac:dyDescent="0.3">
      <c r="A79" s="30"/>
      <c r="B79" s="31"/>
      <c r="C79" s="31"/>
      <c r="D79" s="32" t="str">
        <f t="shared" si="4"/>
        <v/>
      </c>
      <c r="E79" s="33" t="str">
        <f t="shared" si="5"/>
        <v/>
      </c>
      <c r="F79" s="30"/>
    </row>
    <row r="80" spans="1:6" x14ac:dyDescent="0.3">
      <c r="A80" s="30"/>
      <c r="B80" s="31"/>
      <c r="C80" s="31"/>
      <c r="D80" s="32" t="str">
        <f t="shared" si="4"/>
        <v/>
      </c>
      <c r="E80" s="33" t="str">
        <f t="shared" si="5"/>
        <v/>
      </c>
      <c r="F80" s="30"/>
    </row>
    <row r="81" spans="1:6" x14ac:dyDescent="0.3">
      <c r="A81" s="30"/>
      <c r="B81" s="31"/>
      <c r="C81" s="31"/>
      <c r="D81" s="32" t="str">
        <f t="shared" si="4"/>
        <v/>
      </c>
      <c r="E81" s="33" t="str">
        <f t="shared" si="5"/>
        <v/>
      </c>
      <c r="F81" s="30"/>
    </row>
    <row r="82" spans="1:6" x14ac:dyDescent="0.3">
      <c r="A82" s="30"/>
      <c r="B82" s="31"/>
      <c r="C82" s="31"/>
      <c r="D82" s="32" t="str">
        <f t="shared" si="4"/>
        <v/>
      </c>
      <c r="E82" s="33" t="str">
        <f t="shared" si="5"/>
        <v/>
      </c>
      <c r="F82" s="30"/>
    </row>
    <row r="83" spans="1:6" x14ac:dyDescent="0.3">
      <c r="A83" s="30"/>
      <c r="B83" s="31"/>
      <c r="C83" s="31"/>
      <c r="D83" s="32" t="str">
        <f t="shared" si="4"/>
        <v/>
      </c>
      <c r="E83" s="33" t="str">
        <f t="shared" si="5"/>
        <v/>
      </c>
      <c r="F83" s="30"/>
    </row>
    <row r="84" spans="1:6" x14ac:dyDescent="0.3">
      <c r="A84" s="30"/>
      <c r="B84" s="31"/>
      <c r="C84" s="31"/>
      <c r="D84" s="32" t="str">
        <f t="shared" si="4"/>
        <v/>
      </c>
      <c r="E84" s="33" t="str">
        <f t="shared" si="5"/>
        <v/>
      </c>
      <c r="F84" s="30"/>
    </row>
    <row r="85" spans="1:6" x14ac:dyDescent="0.3">
      <c r="A85" s="30"/>
      <c r="B85" s="31"/>
      <c r="C85" s="31"/>
      <c r="D85" s="32" t="str">
        <f t="shared" si="4"/>
        <v/>
      </c>
      <c r="E85" s="33" t="str">
        <f t="shared" si="5"/>
        <v/>
      </c>
      <c r="F85" s="30"/>
    </row>
    <row r="86" spans="1:6" x14ac:dyDescent="0.3">
      <c r="A86" s="30"/>
      <c r="B86" s="31"/>
      <c r="C86" s="31"/>
      <c r="D86" s="32" t="str">
        <f t="shared" si="4"/>
        <v/>
      </c>
      <c r="E86" s="33" t="str">
        <f t="shared" si="5"/>
        <v/>
      </c>
      <c r="F86" s="30"/>
    </row>
    <row r="87" spans="1:6" x14ac:dyDescent="0.3">
      <c r="A87" s="30"/>
      <c r="B87" s="31"/>
      <c r="C87" s="31"/>
      <c r="D87" s="32" t="str">
        <f t="shared" si="4"/>
        <v/>
      </c>
      <c r="E87" s="33" t="str">
        <f t="shared" si="5"/>
        <v/>
      </c>
      <c r="F87" s="30"/>
    </row>
    <row r="88" spans="1:6" x14ac:dyDescent="0.3">
      <c r="A88" s="30"/>
      <c r="B88" s="31"/>
      <c r="C88" s="31"/>
      <c r="D88" s="32" t="str">
        <f t="shared" si="4"/>
        <v/>
      </c>
      <c r="E88" s="33" t="str">
        <f t="shared" si="5"/>
        <v/>
      </c>
      <c r="F88" s="30"/>
    </row>
    <row r="89" spans="1:6" x14ac:dyDescent="0.3">
      <c r="A89" s="30"/>
      <c r="B89" s="31"/>
      <c r="C89" s="31"/>
      <c r="D89" s="32" t="str">
        <f t="shared" si="4"/>
        <v/>
      </c>
      <c r="E89" s="33" t="str">
        <f t="shared" si="5"/>
        <v/>
      </c>
      <c r="F89" s="30"/>
    </row>
    <row r="90" spans="1:6" x14ac:dyDescent="0.3">
      <c r="A90" s="30"/>
      <c r="B90" s="31"/>
      <c r="C90" s="31"/>
      <c r="D90" s="32" t="str">
        <f t="shared" si="4"/>
        <v/>
      </c>
      <c r="E90" s="33" t="str">
        <f t="shared" si="5"/>
        <v/>
      </c>
      <c r="F90" s="30"/>
    </row>
    <row r="91" spans="1:6" x14ac:dyDescent="0.3">
      <c r="A91" s="30"/>
      <c r="B91" s="31"/>
      <c r="C91" s="31"/>
      <c r="D91" s="32" t="str">
        <f t="shared" si="4"/>
        <v/>
      </c>
      <c r="E91" s="33" t="str">
        <f t="shared" si="5"/>
        <v/>
      </c>
      <c r="F91" s="30"/>
    </row>
    <row r="92" spans="1:6" x14ac:dyDescent="0.3">
      <c r="A92" s="30"/>
      <c r="B92" s="31"/>
      <c r="C92" s="31"/>
      <c r="D92" s="32" t="str">
        <f t="shared" si="4"/>
        <v/>
      </c>
      <c r="E92" s="33" t="str">
        <f t="shared" si="5"/>
        <v/>
      </c>
      <c r="F92" s="30"/>
    </row>
    <row r="93" spans="1:6" x14ac:dyDescent="0.3">
      <c r="A93" s="30"/>
      <c r="B93" s="31"/>
      <c r="C93" s="31"/>
      <c r="D93" s="32" t="str">
        <f t="shared" si="4"/>
        <v/>
      </c>
      <c r="E93" s="33" t="str">
        <f t="shared" si="5"/>
        <v/>
      </c>
      <c r="F93" s="30"/>
    </row>
    <row r="94" spans="1:6" x14ac:dyDescent="0.3">
      <c r="A94" s="30"/>
      <c r="B94" s="31"/>
      <c r="C94" s="31"/>
      <c r="D94" s="32" t="str">
        <f t="shared" si="4"/>
        <v/>
      </c>
      <c r="E94" s="33" t="str">
        <f t="shared" si="5"/>
        <v/>
      </c>
      <c r="F94" s="30"/>
    </row>
    <row r="95" spans="1:6" x14ac:dyDescent="0.3">
      <c r="A95" s="30"/>
      <c r="B95" s="31"/>
      <c r="C95" s="31"/>
      <c r="D95" s="32" t="str">
        <f t="shared" si="4"/>
        <v/>
      </c>
      <c r="E95" s="33" t="str">
        <f t="shared" si="5"/>
        <v/>
      </c>
      <c r="F95" s="30"/>
    </row>
    <row r="96" spans="1:6" x14ac:dyDescent="0.3">
      <c r="A96" s="30"/>
      <c r="B96" s="31"/>
      <c r="C96" s="31"/>
      <c r="D96" s="32" t="str">
        <f t="shared" si="4"/>
        <v/>
      </c>
      <c r="E96" s="33" t="str">
        <f t="shared" si="5"/>
        <v/>
      </c>
      <c r="F96" s="30"/>
    </row>
    <row r="97" spans="1:6" x14ac:dyDescent="0.3">
      <c r="A97" s="30"/>
      <c r="B97" s="31"/>
      <c r="C97" s="31"/>
      <c r="D97" s="32" t="str">
        <f t="shared" si="4"/>
        <v/>
      </c>
      <c r="E97" s="33" t="str">
        <f t="shared" si="5"/>
        <v/>
      </c>
      <c r="F97" s="30"/>
    </row>
    <row r="98" spans="1:6" x14ac:dyDescent="0.3">
      <c r="A98" s="30"/>
      <c r="B98" s="31"/>
      <c r="C98" s="31"/>
      <c r="D98" s="32" t="str">
        <f t="shared" si="4"/>
        <v/>
      </c>
      <c r="E98" s="33" t="str">
        <f t="shared" si="5"/>
        <v/>
      </c>
      <c r="F98" s="30"/>
    </row>
    <row r="99" spans="1:6" x14ac:dyDescent="0.3">
      <c r="A99" s="30"/>
      <c r="B99" s="31"/>
      <c r="C99" s="31"/>
      <c r="D99" s="32" t="str">
        <f t="shared" si="4"/>
        <v/>
      </c>
      <c r="E99" s="33" t="str">
        <f t="shared" si="5"/>
        <v/>
      </c>
      <c r="F99" s="30"/>
    </row>
    <row r="100" spans="1:6" x14ac:dyDescent="0.3">
      <c r="A100" s="30"/>
      <c r="B100" s="31"/>
      <c r="C100" s="31"/>
      <c r="D100" s="32" t="str">
        <f t="shared" ref="D100:D103" si="6">IF(OR(B100="",C100=""),"",B100-C100)</f>
        <v/>
      </c>
      <c r="E100" s="33" t="str">
        <f t="shared" ref="E100:E103" si="7">IF(OR(B100="",D100=""),"",D100/B100)</f>
        <v/>
      </c>
      <c r="F100" s="30"/>
    </row>
    <row r="101" spans="1:6" x14ac:dyDescent="0.3">
      <c r="A101" s="30"/>
      <c r="B101" s="31"/>
      <c r="C101" s="31"/>
      <c r="D101" s="32" t="str">
        <f t="shared" si="6"/>
        <v/>
      </c>
      <c r="E101" s="33" t="str">
        <f t="shared" si="7"/>
        <v/>
      </c>
      <c r="F101" s="30"/>
    </row>
    <row r="102" spans="1:6" x14ac:dyDescent="0.3">
      <c r="A102" s="30"/>
      <c r="B102" s="31"/>
      <c r="C102" s="31"/>
      <c r="D102" s="32" t="str">
        <f t="shared" si="6"/>
        <v/>
      </c>
      <c r="E102" s="33" t="str">
        <f t="shared" si="7"/>
        <v/>
      </c>
      <c r="F102" s="30"/>
    </row>
    <row r="103" spans="1:6" x14ac:dyDescent="0.3">
      <c r="A103" s="30"/>
      <c r="B103" s="31"/>
      <c r="C103" s="31"/>
      <c r="D103" s="32" t="str">
        <f t="shared" si="6"/>
        <v/>
      </c>
      <c r="E103" s="33" t="str">
        <f t="shared" si="7"/>
        <v/>
      </c>
      <c r="F103" s="30"/>
    </row>
  </sheetData>
  <sheetProtection sheet="1"/>
  <mergeCells count="1">
    <mergeCell ref="A1:F1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showGridLines="0" workbookViewId="0">
      <selection sqref="A1:F1"/>
    </sheetView>
  </sheetViews>
  <sheetFormatPr defaultRowHeight="14.4" x14ac:dyDescent="0.3"/>
  <cols>
    <col min="1" max="1" width="28" customWidth="1"/>
    <col min="2" max="2" width="18" customWidth="1"/>
    <col min="4" max="4" width="34" customWidth="1"/>
  </cols>
  <sheetData>
    <row r="1" spans="1:6" ht="18" customHeight="1" x14ac:dyDescent="0.35">
      <c r="A1" s="72" t="s">
        <v>378</v>
      </c>
      <c r="B1" s="64"/>
      <c r="C1" s="64"/>
      <c r="D1" s="64"/>
      <c r="E1" s="64"/>
      <c r="F1" s="64"/>
    </row>
    <row r="2" spans="1:6" x14ac:dyDescent="0.3">
      <c r="A2" s="5" t="s">
        <v>379</v>
      </c>
      <c r="B2" s="2">
        <f>SUM('Registo Diário'!C2:C101)</f>
        <v>-5.5099999999999989</v>
      </c>
      <c r="D2" s="6" t="s">
        <v>380</v>
      </c>
    </row>
    <row r="3" spans="1:6" x14ac:dyDescent="0.3">
      <c r="A3" s="5" t="s">
        <v>270</v>
      </c>
      <c r="B3" s="2">
        <f>Config!B10</f>
        <v>35.714999999999996</v>
      </c>
      <c r="D3" s="16" t="s">
        <v>381</v>
      </c>
    </row>
    <row r="4" spans="1:6" x14ac:dyDescent="0.3">
      <c r="A4" s="5" t="s">
        <v>382</v>
      </c>
      <c r="B4" s="2">
        <f>MAX('Equity vs Drawdown'!D4:D103)</f>
        <v>0</v>
      </c>
      <c r="D4" s="16" t="s">
        <v>383</v>
      </c>
    </row>
    <row r="5" spans="1:6" x14ac:dyDescent="0.3">
      <c r="A5" s="5" t="s">
        <v>343</v>
      </c>
      <c r="B5" s="11">
        <f>IF(Config!B18&gt;0,MAX('Equity vs Drawdown'!D4:D103)/Config!B18,"")</f>
        <v>0</v>
      </c>
      <c r="D5" s="16" t="s">
        <v>384</v>
      </c>
    </row>
    <row r="6" spans="1:6" x14ac:dyDescent="0.3">
      <c r="A6" s="5" t="s">
        <v>103</v>
      </c>
      <c r="B6" s="2">
        <f>ABS(Config!B9)</f>
        <v>23.81</v>
      </c>
      <c r="D6" s="16" t="s">
        <v>385</v>
      </c>
    </row>
    <row r="7" spans="1:6" x14ac:dyDescent="0.3">
      <c r="A7" s="5" t="s">
        <v>386</v>
      </c>
      <c r="B7" s="7">
        <f>IF(B2&gt;=B3,50,IF(B2&gt;=B3*0.6,35,20))+IF(B5&lt;=0.15,25,IF(B5&lt;=0.2,15,5))+IF(B6&lt;=B2,25,10)</f>
        <v>55</v>
      </c>
    </row>
    <row r="8" spans="1:6" x14ac:dyDescent="0.3">
      <c r="A8" s="5" t="s">
        <v>13</v>
      </c>
      <c r="B8" s="7" t="str">
        <f>IF(B7&gt;=85,"Excelente",IF(B7&gt;=70,"Boa",IF(B7&gt;=55,"Aceitável","Frágil")))</f>
        <v>Aceitável</v>
      </c>
    </row>
  </sheetData>
  <sheetProtection sheet="1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0"/>
  <sheetViews>
    <sheetView showGridLines="0" workbookViewId="0">
      <selection activeCell="J6" sqref="J6"/>
    </sheetView>
  </sheetViews>
  <sheetFormatPr defaultRowHeight="14.4" x14ac:dyDescent="0.3"/>
  <cols>
    <col min="1" max="1" width="14" customWidth="1"/>
    <col min="2" max="2" width="20" customWidth="1"/>
    <col min="3" max="4" width="14" customWidth="1"/>
    <col min="5" max="5" width="28" customWidth="1"/>
    <col min="6" max="7" width="18" customWidth="1"/>
    <col min="8" max="8" width="28" customWidth="1"/>
  </cols>
  <sheetData>
    <row r="1" spans="1:8" ht="18" customHeight="1" x14ac:dyDescent="0.35">
      <c r="A1" s="72" t="s">
        <v>202</v>
      </c>
      <c r="B1" s="64"/>
      <c r="C1" s="64"/>
      <c r="D1" s="64"/>
      <c r="E1" s="64"/>
      <c r="F1" s="64"/>
      <c r="G1" s="64"/>
      <c r="H1" s="64"/>
    </row>
    <row r="3" spans="1:8" x14ac:dyDescent="0.3">
      <c r="A3" s="3" t="s">
        <v>0</v>
      </c>
      <c r="B3" s="3" t="s">
        <v>395</v>
      </c>
      <c r="C3" s="3" t="s">
        <v>396</v>
      </c>
      <c r="D3" s="3" t="s">
        <v>397</v>
      </c>
      <c r="E3" s="3" t="s">
        <v>398</v>
      </c>
      <c r="F3" s="3" t="s">
        <v>399</v>
      </c>
      <c r="G3" s="3" t="s">
        <v>400</v>
      </c>
      <c r="H3" s="3" t="s">
        <v>364</v>
      </c>
    </row>
    <row r="4" spans="1:8" x14ac:dyDescent="0.3">
      <c r="A4" s="30"/>
      <c r="B4" s="30"/>
      <c r="C4" s="30"/>
      <c r="D4" s="30"/>
      <c r="E4" s="30"/>
      <c r="F4" s="30"/>
      <c r="G4" s="30"/>
      <c r="H4" s="30"/>
    </row>
    <row r="5" spans="1:8" x14ac:dyDescent="0.3">
      <c r="A5" s="30"/>
      <c r="B5" s="30"/>
      <c r="C5" s="30"/>
      <c r="D5" s="30"/>
      <c r="E5" s="30"/>
      <c r="F5" s="30"/>
      <c r="G5" s="30"/>
      <c r="H5" s="30"/>
    </row>
    <row r="6" spans="1:8" x14ac:dyDescent="0.3">
      <c r="A6" s="30"/>
      <c r="B6" s="30"/>
      <c r="C6" s="30"/>
      <c r="D6" s="30"/>
      <c r="E6" s="30"/>
      <c r="F6" s="30"/>
      <c r="G6" s="30"/>
      <c r="H6" s="30"/>
    </row>
    <row r="7" spans="1:8" x14ac:dyDescent="0.3">
      <c r="A7" s="30"/>
      <c r="B7" s="30"/>
      <c r="C7" s="30"/>
      <c r="D7" s="30"/>
      <c r="E7" s="30"/>
      <c r="F7" s="30"/>
      <c r="G7" s="30"/>
      <c r="H7" s="30"/>
    </row>
    <row r="8" spans="1:8" x14ac:dyDescent="0.3">
      <c r="A8" s="30"/>
      <c r="B8" s="30"/>
      <c r="C8" s="30"/>
      <c r="D8" s="30"/>
      <c r="E8" s="30"/>
      <c r="F8" s="30"/>
      <c r="G8" s="30"/>
      <c r="H8" s="30"/>
    </row>
    <row r="9" spans="1:8" x14ac:dyDescent="0.3">
      <c r="A9" s="30"/>
      <c r="B9" s="30"/>
      <c r="C9" s="30"/>
      <c r="D9" s="30"/>
      <c r="E9" s="30"/>
      <c r="F9" s="30"/>
      <c r="G9" s="30"/>
      <c r="H9" s="30"/>
    </row>
    <row r="10" spans="1:8" x14ac:dyDescent="0.3">
      <c r="A10" s="30"/>
      <c r="B10" s="30"/>
      <c r="C10" s="30"/>
      <c r="D10" s="30"/>
      <c r="E10" s="30"/>
      <c r="F10" s="30"/>
      <c r="G10" s="30"/>
      <c r="H10" s="30"/>
    </row>
    <row r="11" spans="1:8" x14ac:dyDescent="0.3">
      <c r="A11" s="30"/>
      <c r="B11" s="30"/>
      <c r="C11" s="30"/>
      <c r="D11" s="30"/>
      <c r="E11" s="30"/>
      <c r="F11" s="30"/>
      <c r="G11" s="30"/>
      <c r="H11" s="30"/>
    </row>
    <row r="12" spans="1:8" x14ac:dyDescent="0.3">
      <c r="A12" s="30"/>
      <c r="B12" s="30"/>
      <c r="C12" s="30"/>
      <c r="D12" s="30"/>
      <c r="E12" s="30"/>
      <c r="F12" s="30"/>
      <c r="G12" s="30"/>
      <c r="H12" s="30"/>
    </row>
    <row r="13" spans="1:8" x14ac:dyDescent="0.3">
      <c r="A13" s="30"/>
      <c r="B13" s="30"/>
      <c r="C13" s="30"/>
      <c r="D13" s="30"/>
      <c r="E13" s="30"/>
      <c r="F13" s="30"/>
      <c r="G13" s="30"/>
      <c r="H13" s="30"/>
    </row>
    <row r="14" spans="1:8" x14ac:dyDescent="0.3">
      <c r="A14" s="30"/>
      <c r="B14" s="30"/>
      <c r="C14" s="30"/>
      <c r="D14" s="30"/>
      <c r="E14" s="30"/>
      <c r="F14" s="30"/>
      <c r="G14" s="30"/>
      <c r="H14" s="30"/>
    </row>
    <row r="15" spans="1:8" x14ac:dyDescent="0.3">
      <c r="A15" s="30"/>
      <c r="B15" s="30"/>
      <c r="C15" s="30"/>
      <c r="D15" s="30"/>
      <c r="E15" s="30"/>
      <c r="F15" s="30"/>
      <c r="G15" s="30"/>
      <c r="H15" s="30"/>
    </row>
    <row r="16" spans="1:8" x14ac:dyDescent="0.3">
      <c r="A16" s="30"/>
      <c r="B16" s="30"/>
      <c r="C16" s="30"/>
      <c r="D16" s="30"/>
      <c r="E16" s="30"/>
      <c r="F16" s="30"/>
      <c r="G16" s="30"/>
      <c r="H16" s="30"/>
    </row>
    <row r="17" spans="1:8" x14ac:dyDescent="0.3">
      <c r="A17" s="30"/>
      <c r="B17" s="30"/>
      <c r="C17" s="30"/>
      <c r="D17" s="30"/>
      <c r="E17" s="30"/>
      <c r="F17" s="30"/>
      <c r="G17" s="30"/>
      <c r="H17" s="30"/>
    </row>
    <row r="18" spans="1:8" x14ac:dyDescent="0.3">
      <c r="A18" s="30"/>
      <c r="B18" s="30"/>
      <c r="C18" s="30"/>
      <c r="D18" s="30"/>
      <c r="E18" s="30"/>
      <c r="F18" s="30"/>
      <c r="G18" s="30"/>
      <c r="H18" s="30"/>
    </row>
    <row r="19" spans="1:8" x14ac:dyDescent="0.3">
      <c r="A19" s="30"/>
      <c r="B19" s="30"/>
      <c r="C19" s="30"/>
      <c r="D19" s="30"/>
      <c r="E19" s="30"/>
      <c r="F19" s="30"/>
      <c r="G19" s="30"/>
      <c r="H19" s="30"/>
    </row>
    <row r="20" spans="1:8" x14ac:dyDescent="0.3">
      <c r="A20" s="30"/>
      <c r="B20" s="30"/>
      <c r="C20" s="30"/>
      <c r="D20" s="30"/>
      <c r="E20" s="30"/>
      <c r="F20" s="30"/>
      <c r="G20" s="30"/>
      <c r="H20" s="30"/>
    </row>
    <row r="21" spans="1:8" x14ac:dyDescent="0.3">
      <c r="A21" s="30"/>
      <c r="B21" s="30"/>
      <c r="C21" s="30"/>
      <c r="D21" s="30"/>
      <c r="E21" s="30"/>
      <c r="F21" s="30"/>
      <c r="G21" s="30"/>
      <c r="H21" s="30"/>
    </row>
    <row r="22" spans="1:8" x14ac:dyDescent="0.3">
      <c r="A22" s="30"/>
      <c r="B22" s="30"/>
      <c r="C22" s="30"/>
      <c r="D22" s="30"/>
      <c r="E22" s="30"/>
      <c r="F22" s="30"/>
      <c r="G22" s="30"/>
      <c r="H22" s="30"/>
    </row>
    <row r="23" spans="1:8" x14ac:dyDescent="0.3">
      <c r="A23" s="30"/>
      <c r="B23" s="30"/>
      <c r="C23" s="30"/>
      <c r="D23" s="30"/>
      <c r="E23" s="30"/>
      <c r="F23" s="30"/>
      <c r="G23" s="30"/>
      <c r="H23" s="30"/>
    </row>
    <row r="24" spans="1:8" x14ac:dyDescent="0.3">
      <c r="A24" s="30"/>
      <c r="B24" s="30"/>
      <c r="C24" s="30"/>
      <c r="D24" s="30"/>
      <c r="E24" s="30"/>
      <c r="F24" s="30"/>
      <c r="G24" s="30"/>
      <c r="H24" s="30"/>
    </row>
    <row r="25" spans="1:8" x14ac:dyDescent="0.3">
      <c r="A25" s="30"/>
      <c r="B25" s="30"/>
      <c r="C25" s="30"/>
      <c r="D25" s="30"/>
      <c r="E25" s="30"/>
      <c r="F25" s="30"/>
      <c r="G25" s="30"/>
      <c r="H25" s="30"/>
    </row>
    <row r="26" spans="1:8" x14ac:dyDescent="0.3">
      <c r="A26" s="30"/>
      <c r="B26" s="30"/>
      <c r="C26" s="30"/>
      <c r="D26" s="30"/>
      <c r="E26" s="30"/>
      <c r="F26" s="30"/>
      <c r="G26" s="30"/>
      <c r="H26" s="30"/>
    </row>
    <row r="27" spans="1:8" x14ac:dyDescent="0.3">
      <c r="A27" s="30"/>
      <c r="B27" s="30"/>
      <c r="C27" s="30"/>
      <c r="D27" s="30"/>
      <c r="E27" s="30"/>
      <c r="F27" s="30"/>
      <c r="G27" s="30"/>
      <c r="H27" s="30"/>
    </row>
    <row r="28" spans="1:8" x14ac:dyDescent="0.3">
      <c r="A28" s="30"/>
      <c r="B28" s="30"/>
      <c r="C28" s="30"/>
      <c r="D28" s="30"/>
      <c r="E28" s="30"/>
      <c r="F28" s="30"/>
      <c r="G28" s="30"/>
      <c r="H28" s="30"/>
    </row>
    <row r="29" spans="1:8" x14ac:dyDescent="0.3">
      <c r="A29" s="30"/>
      <c r="B29" s="30"/>
      <c r="C29" s="30"/>
      <c r="D29" s="30"/>
      <c r="E29" s="30"/>
      <c r="F29" s="30"/>
      <c r="G29" s="30"/>
      <c r="H29" s="30"/>
    </row>
    <row r="30" spans="1:8" x14ac:dyDescent="0.3">
      <c r="A30" s="30"/>
      <c r="B30" s="30"/>
      <c r="C30" s="30"/>
      <c r="D30" s="30"/>
      <c r="E30" s="30"/>
      <c r="F30" s="30"/>
      <c r="G30" s="30"/>
      <c r="H30" s="30"/>
    </row>
    <row r="31" spans="1:8" x14ac:dyDescent="0.3">
      <c r="A31" s="30"/>
      <c r="B31" s="30"/>
      <c r="C31" s="30"/>
      <c r="D31" s="30"/>
      <c r="E31" s="30"/>
      <c r="F31" s="30"/>
      <c r="G31" s="30"/>
      <c r="H31" s="30"/>
    </row>
    <row r="32" spans="1:8" x14ac:dyDescent="0.3">
      <c r="A32" s="30"/>
      <c r="B32" s="30"/>
      <c r="C32" s="30"/>
      <c r="D32" s="30"/>
      <c r="E32" s="30"/>
      <c r="F32" s="30"/>
      <c r="G32" s="30"/>
      <c r="H32" s="30"/>
    </row>
    <row r="33" spans="1:8" x14ac:dyDescent="0.3">
      <c r="A33" s="30"/>
      <c r="B33" s="30"/>
      <c r="C33" s="30"/>
      <c r="D33" s="30"/>
      <c r="E33" s="30"/>
      <c r="F33" s="30"/>
      <c r="G33" s="30"/>
      <c r="H33" s="30"/>
    </row>
    <row r="34" spans="1:8" x14ac:dyDescent="0.3">
      <c r="A34" s="30"/>
      <c r="B34" s="30"/>
      <c r="C34" s="30"/>
      <c r="D34" s="30"/>
      <c r="E34" s="30"/>
      <c r="F34" s="30"/>
      <c r="G34" s="30"/>
      <c r="H34" s="30"/>
    </row>
    <row r="35" spans="1:8" x14ac:dyDescent="0.3">
      <c r="A35" s="30"/>
      <c r="B35" s="30"/>
      <c r="C35" s="30"/>
      <c r="D35" s="30"/>
      <c r="E35" s="30"/>
      <c r="F35" s="30"/>
      <c r="G35" s="30"/>
      <c r="H35" s="30"/>
    </row>
    <row r="36" spans="1:8" x14ac:dyDescent="0.3">
      <c r="A36" s="30"/>
      <c r="B36" s="30"/>
      <c r="C36" s="30"/>
      <c r="D36" s="30"/>
      <c r="E36" s="30"/>
      <c r="F36" s="30"/>
      <c r="G36" s="30"/>
      <c r="H36" s="30"/>
    </row>
    <row r="37" spans="1:8" x14ac:dyDescent="0.3">
      <c r="A37" s="30"/>
      <c r="B37" s="30"/>
      <c r="C37" s="30"/>
      <c r="D37" s="30"/>
      <c r="E37" s="30"/>
      <c r="F37" s="30"/>
      <c r="G37" s="30"/>
      <c r="H37" s="30"/>
    </row>
    <row r="38" spans="1:8" x14ac:dyDescent="0.3">
      <c r="A38" s="30"/>
      <c r="B38" s="30"/>
      <c r="C38" s="30"/>
      <c r="D38" s="30"/>
      <c r="E38" s="30"/>
      <c r="F38" s="30"/>
      <c r="G38" s="30"/>
      <c r="H38" s="30"/>
    </row>
    <row r="39" spans="1:8" x14ac:dyDescent="0.3">
      <c r="A39" s="30"/>
      <c r="B39" s="30"/>
      <c r="C39" s="30"/>
      <c r="D39" s="30"/>
      <c r="E39" s="30"/>
      <c r="F39" s="30"/>
      <c r="G39" s="30"/>
      <c r="H39" s="30"/>
    </row>
    <row r="40" spans="1:8" x14ac:dyDescent="0.3">
      <c r="A40" s="30"/>
      <c r="B40" s="30"/>
      <c r="C40" s="30"/>
      <c r="D40" s="30"/>
      <c r="E40" s="30"/>
      <c r="F40" s="30"/>
      <c r="G40" s="30"/>
      <c r="H40" s="30"/>
    </row>
    <row r="41" spans="1:8" x14ac:dyDescent="0.3">
      <c r="A41" s="30"/>
      <c r="B41" s="30"/>
      <c r="C41" s="30"/>
      <c r="D41" s="30"/>
      <c r="E41" s="30"/>
      <c r="F41" s="30"/>
      <c r="G41" s="30"/>
      <c r="H41" s="30"/>
    </row>
    <row r="42" spans="1:8" x14ac:dyDescent="0.3">
      <c r="A42" s="30"/>
      <c r="B42" s="30"/>
      <c r="C42" s="30"/>
      <c r="D42" s="30"/>
      <c r="E42" s="30"/>
      <c r="F42" s="30"/>
      <c r="G42" s="30"/>
      <c r="H42" s="30"/>
    </row>
    <row r="43" spans="1:8" x14ac:dyDescent="0.3">
      <c r="A43" s="30"/>
      <c r="B43" s="30"/>
      <c r="C43" s="30"/>
      <c r="D43" s="30"/>
      <c r="E43" s="30"/>
      <c r="F43" s="30"/>
      <c r="G43" s="30"/>
      <c r="H43" s="30"/>
    </row>
    <row r="44" spans="1:8" x14ac:dyDescent="0.3">
      <c r="A44" s="30"/>
      <c r="B44" s="30"/>
      <c r="C44" s="30"/>
      <c r="D44" s="30"/>
      <c r="E44" s="30"/>
      <c r="F44" s="30"/>
      <c r="G44" s="30"/>
      <c r="H44" s="30"/>
    </row>
    <row r="45" spans="1:8" x14ac:dyDescent="0.3">
      <c r="A45" s="30"/>
      <c r="B45" s="30"/>
      <c r="C45" s="30"/>
      <c r="D45" s="30"/>
      <c r="E45" s="30"/>
      <c r="F45" s="30"/>
      <c r="G45" s="30"/>
      <c r="H45" s="30"/>
    </row>
    <row r="46" spans="1:8" x14ac:dyDescent="0.3">
      <c r="A46" s="30"/>
      <c r="B46" s="30"/>
      <c r="C46" s="30"/>
      <c r="D46" s="30"/>
      <c r="E46" s="30"/>
      <c r="F46" s="30"/>
      <c r="G46" s="30"/>
      <c r="H46" s="30"/>
    </row>
    <row r="47" spans="1:8" x14ac:dyDescent="0.3">
      <c r="A47" s="30"/>
      <c r="B47" s="30"/>
      <c r="C47" s="30"/>
      <c r="D47" s="30"/>
      <c r="E47" s="30"/>
      <c r="F47" s="30"/>
      <c r="G47" s="30"/>
      <c r="H47" s="30"/>
    </row>
    <row r="48" spans="1:8" x14ac:dyDescent="0.3">
      <c r="A48" s="30"/>
      <c r="B48" s="30"/>
      <c r="C48" s="30"/>
      <c r="D48" s="30"/>
      <c r="E48" s="30"/>
      <c r="F48" s="30"/>
      <c r="G48" s="30"/>
      <c r="H48" s="30"/>
    </row>
    <row r="49" spans="1:8" x14ac:dyDescent="0.3">
      <c r="A49" s="30"/>
      <c r="B49" s="30"/>
      <c r="C49" s="30"/>
      <c r="D49" s="30"/>
      <c r="E49" s="30"/>
      <c r="F49" s="30"/>
      <c r="G49" s="30"/>
      <c r="H49" s="30"/>
    </row>
    <row r="50" spans="1:8" x14ac:dyDescent="0.3">
      <c r="A50" s="30"/>
      <c r="B50" s="30"/>
      <c r="C50" s="30"/>
      <c r="D50" s="30"/>
      <c r="E50" s="30"/>
      <c r="F50" s="30"/>
      <c r="G50" s="30"/>
      <c r="H50" s="30"/>
    </row>
    <row r="51" spans="1:8" x14ac:dyDescent="0.3">
      <c r="A51" s="30"/>
      <c r="B51" s="30"/>
      <c r="C51" s="30"/>
      <c r="D51" s="30"/>
      <c r="E51" s="30"/>
      <c r="F51" s="30"/>
      <c r="G51" s="30"/>
      <c r="H51" s="30"/>
    </row>
    <row r="52" spans="1:8" x14ac:dyDescent="0.3">
      <c r="A52" s="30"/>
      <c r="B52" s="30"/>
      <c r="C52" s="30"/>
      <c r="D52" s="30"/>
      <c r="E52" s="30"/>
      <c r="F52" s="30"/>
      <c r="G52" s="30"/>
      <c r="H52" s="30"/>
    </row>
    <row r="53" spans="1:8" x14ac:dyDescent="0.3">
      <c r="A53" s="30"/>
      <c r="B53" s="30"/>
      <c r="C53" s="30"/>
      <c r="D53" s="30"/>
      <c r="E53" s="30"/>
      <c r="F53" s="30"/>
      <c r="G53" s="30"/>
      <c r="H53" s="30"/>
    </row>
    <row r="54" spans="1:8" x14ac:dyDescent="0.3">
      <c r="A54" s="30"/>
      <c r="B54" s="30"/>
      <c r="C54" s="30"/>
      <c r="D54" s="30"/>
      <c r="E54" s="30"/>
      <c r="F54" s="30"/>
      <c r="G54" s="30"/>
      <c r="H54" s="30"/>
    </row>
    <row r="55" spans="1:8" x14ac:dyDescent="0.3">
      <c r="A55" s="30"/>
      <c r="B55" s="30"/>
      <c r="C55" s="30"/>
      <c r="D55" s="30"/>
      <c r="E55" s="30"/>
      <c r="F55" s="30"/>
      <c r="G55" s="30"/>
      <c r="H55" s="30"/>
    </row>
    <row r="56" spans="1:8" x14ac:dyDescent="0.3">
      <c r="A56" s="30"/>
      <c r="B56" s="30"/>
      <c r="C56" s="30"/>
      <c r="D56" s="30"/>
      <c r="E56" s="30"/>
      <c r="F56" s="30"/>
      <c r="G56" s="30"/>
      <c r="H56" s="30"/>
    </row>
    <row r="57" spans="1:8" x14ac:dyDescent="0.3">
      <c r="A57" s="30"/>
      <c r="B57" s="30"/>
      <c r="C57" s="30"/>
      <c r="D57" s="30"/>
      <c r="E57" s="30"/>
      <c r="F57" s="30"/>
      <c r="G57" s="30"/>
      <c r="H57" s="30"/>
    </row>
    <row r="58" spans="1:8" x14ac:dyDescent="0.3">
      <c r="A58" s="30"/>
      <c r="B58" s="30"/>
      <c r="C58" s="30"/>
      <c r="D58" s="30"/>
      <c r="E58" s="30"/>
      <c r="F58" s="30"/>
      <c r="G58" s="30"/>
      <c r="H58" s="30"/>
    </row>
    <row r="59" spans="1:8" x14ac:dyDescent="0.3">
      <c r="A59" s="30"/>
      <c r="B59" s="30"/>
      <c r="C59" s="30"/>
      <c r="D59" s="30"/>
      <c r="E59" s="30"/>
      <c r="F59" s="30"/>
      <c r="G59" s="30"/>
      <c r="H59" s="30"/>
    </row>
    <row r="60" spans="1:8" x14ac:dyDescent="0.3">
      <c r="A60" s="30"/>
      <c r="B60" s="30"/>
      <c r="C60" s="30"/>
      <c r="D60" s="30"/>
      <c r="E60" s="30"/>
      <c r="F60" s="30"/>
      <c r="G60" s="30"/>
      <c r="H60" s="30"/>
    </row>
    <row r="61" spans="1:8" x14ac:dyDescent="0.3">
      <c r="A61" s="30"/>
      <c r="B61" s="30"/>
      <c r="C61" s="30"/>
      <c r="D61" s="30"/>
      <c r="E61" s="30"/>
      <c r="F61" s="30"/>
      <c r="G61" s="30"/>
      <c r="H61" s="30"/>
    </row>
    <row r="62" spans="1:8" x14ac:dyDescent="0.3">
      <c r="A62" s="30"/>
      <c r="B62" s="30"/>
      <c r="C62" s="30"/>
      <c r="D62" s="30"/>
      <c r="E62" s="30"/>
      <c r="F62" s="30"/>
      <c r="G62" s="30"/>
      <c r="H62" s="30"/>
    </row>
    <row r="63" spans="1:8" x14ac:dyDescent="0.3">
      <c r="A63" s="30"/>
      <c r="B63" s="30"/>
      <c r="C63" s="30"/>
      <c r="D63" s="30"/>
      <c r="E63" s="30"/>
      <c r="F63" s="30"/>
      <c r="G63" s="30"/>
      <c r="H63" s="30"/>
    </row>
    <row r="64" spans="1:8" x14ac:dyDescent="0.3">
      <c r="A64" s="30"/>
      <c r="B64" s="30"/>
      <c r="C64" s="30"/>
      <c r="D64" s="30"/>
      <c r="E64" s="30"/>
      <c r="F64" s="30"/>
      <c r="G64" s="30"/>
      <c r="H64" s="30"/>
    </row>
    <row r="65" spans="1:8" x14ac:dyDescent="0.3">
      <c r="A65" s="30"/>
      <c r="B65" s="30"/>
      <c r="C65" s="30"/>
      <c r="D65" s="30"/>
      <c r="E65" s="30"/>
      <c r="F65" s="30"/>
      <c r="G65" s="30"/>
      <c r="H65" s="30"/>
    </row>
    <row r="66" spans="1:8" x14ac:dyDescent="0.3">
      <c r="A66" s="30"/>
      <c r="B66" s="30"/>
      <c r="C66" s="30"/>
      <c r="D66" s="30"/>
      <c r="E66" s="30"/>
      <c r="F66" s="30"/>
      <c r="G66" s="30"/>
      <c r="H66" s="30"/>
    </row>
    <row r="67" spans="1:8" x14ac:dyDescent="0.3">
      <c r="A67" s="30"/>
      <c r="B67" s="30"/>
      <c r="C67" s="30"/>
      <c r="D67" s="30"/>
      <c r="E67" s="30"/>
      <c r="F67" s="30"/>
      <c r="G67" s="30"/>
      <c r="H67" s="30"/>
    </row>
    <row r="68" spans="1:8" x14ac:dyDescent="0.3">
      <c r="A68" s="30"/>
      <c r="B68" s="30"/>
      <c r="C68" s="30"/>
      <c r="D68" s="30"/>
      <c r="E68" s="30"/>
      <c r="F68" s="30"/>
      <c r="G68" s="30"/>
      <c r="H68" s="30"/>
    </row>
    <row r="69" spans="1:8" x14ac:dyDescent="0.3">
      <c r="A69" s="30"/>
      <c r="B69" s="30"/>
      <c r="C69" s="30"/>
      <c r="D69" s="30"/>
      <c r="E69" s="30"/>
      <c r="F69" s="30"/>
      <c r="G69" s="30"/>
      <c r="H69" s="30"/>
    </row>
    <row r="70" spans="1:8" x14ac:dyDescent="0.3">
      <c r="A70" s="30"/>
      <c r="B70" s="30"/>
      <c r="C70" s="30"/>
      <c r="D70" s="30"/>
      <c r="E70" s="30"/>
      <c r="F70" s="30"/>
      <c r="G70" s="30"/>
      <c r="H70" s="30"/>
    </row>
    <row r="71" spans="1:8" x14ac:dyDescent="0.3">
      <c r="A71" s="30"/>
      <c r="B71" s="30"/>
      <c r="C71" s="30"/>
      <c r="D71" s="30"/>
      <c r="E71" s="30"/>
      <c r="F71" s="30"/>
      <c r="G71" s="30"/>
      <c r="H71" s="30"/>
    </row>
    <row r="72" spans="1:8" x14ac:dyDescent="0.3">
      <c r="A72" s="30"/>
      <c r="B72" s="30"/>
      <c r="C72" s="30"/>
      <c r="D72" s="30"/>
      <c r="E72" s="30"/>
      <c r="F72" s="30"/>
      <c r="G72" s="30"/>
      <c r="H72" s="30"/>
    </row>
    <row r="73" spans="1:8" x14ac:dyDescent="0.3">
      <c r="A73" s="30"/>
      <c r="B73" s="30"/>
      <c r="C73" s="30"/>
      <c r="D73" s="30"/>
      <c r="E73" s="30"/>
      <c r="F73" s="30"/>
      <c r="G73" s="30"/>
      <c r="H73" s="30"/>
    </row>
    <row r="74" spans="1:8" x14ac:dyDescent="0.3">
      <c r="A74" s="30"/>
      <c r="B74" s="30"/>
      <c r="C74" s="30"/>
      <c r="D74" s="30"/>
      <c r="E74" s="30"/>
      <c r="F74" s="30"/>
      <c r="G74" s="30"/>
      <c r="H74" s="30"/>
    </row>
    <row r="75" spans="1:8" x14ac:dyDescent="0.3">
      <c r="A75" s="30"/>
      <c r="B75" s="30"/>
      <c r="C75" s="30"/>
      <c r="D75" s="30"/>
      <c r="E75" s="30"/>
      <c r="F75" s="30"/>
      <c r="G75" s="30"/>
      <c r="H75" s="30"/>
    </row>
    <row r="76" spans="1:8" x14ac:dyDescent="0.3">
      <c r="A76" s="30"/>
      <c r="B76" s="30"/>
      <c r="C76" s="30"/>
      <c r="D76" s="30"/>
      <c r="E76" s="30"/>
      <c r="F76" s="30"/>
      <c r="G76" s="30"/>
      <c r="H76" s="30"/>
    </row>
    <row r="77" spans="1:8" x14ac:dyDescent="0.3">
      <c r="A77" s="30"/>
      <c r="B77" s="30"/>
      <c r="C77" s="30"/>
      <c r="D77" s="30"/>
      <c r="E77" s="30"/>
      <c r="F77" s="30"/>
      <c r="G77" s="30"/>
      <c r="H77" s="30"/>
    </row>
    <row r="78" spans="1:8" x14ac:dyDescent="0.3">
      <c r="A78" s="30"/>
      <c r="B78" s="30"/>
      <c r="C78" s="30"/>
      <c r="D78" s="30"/>
      <c r="E78" s="30"/>
      <c r="F78" s="30"/>
      <c r="G78" s="30"/>
      <c r="H78" s="30"/>
    </row>
    <row r="79" spans="1:8" x14ac:dyDescent="0.3">
      <c r="A79" s="30"/>
      <c r="B79" s="30"/>
      <c r="C79" s="30"/>
      <c r="D79" s="30"/>
      <c r="E79" s="30"/>
      <c r="F79" s="30"/>
      <c r="G79" s="30"/>
      <c r="H79" s="30"/>
    </row>
    <row r="80" spans="1:8" x14ac:dyDescent="0.3">
      <c r="A80" s="30"/>
      <c r="B80" s="30"/>
      <c r="C80" s="30"/>
      <c r="D80" s="30"/>
      <c r="E80" s="30"/>
      <c r="F80" s="30"/>
      <c r="G80" s="30"/>
      <c r="H80" s="30"/>
    </row>
  </sheetData>
  <sheetProtection sheet="1"/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"/>
  <sheetViews>
    <sheetView showGridLines="0" workbookViewId="0">
      <selection activeCell="E18" sqref="E18"/>
    </sheetView>
  </sheetViews>
  <sheetFormatPr defaultRowHeight="14.4" x14ac:dyDescent="0.3"/>
  <cols>
    <col min="1" max="1" width="20" customWidth="1"/>
    <col min="2" max="2" width="18" customWidth="1"/>
    <col min="3" max="3" width="16" customWidth="1"/>
    <col min="4" max="4" width="12" customWidth="1"/>
    <col min="5" max="5" width="24" customWidth="1"/>
    <col min="6" max="6" width="22" customWidth="1"/>
    <col min="7" max="7" width="16" customWidth="1"/>
    <col min="8" max="8" width="18" customWidth="1"/>
  </cols>
  <sheetData>
    <row r="1" spans="1:8" ht="18" customHeight="1" x14ac:dyDescent="0.35">
      <c r="A1" s="72" t="s">
        <v>206</v>
      </c>
      <c r="B1" s="64"/>
      <c r="C1" s="64"/>
      <c r="D1" s="64"/>
      <c r="E1" s="64"/>
      <c r="F1" s="64"/>
      <c r="G1" s="64"/>
      <c r="H1" s="64"/>
    </row>
    <row r="3" spans="1:8" x14ac:dyDescent="0.3">
      <c r="A3" s="3" t="s">
        <v>401</v>
      </c>
      <c r="B3" s="3" t="s">
        <v>402</v>
      </c>
      <c r="C3" s="3" t="s">
        <v>96</v>
      </c>
      <c r="D3" s="3" t="s">
        <v>403</v>
      </c>
      <c r="E3" s="3" t="s">
        <v>404</v>
      </c>
      <c r="F3" s="3" t="s">
        <v>405</v>
      </c>
      <c r="G3" s="3" t="s">
        <v>5</v>
      </c>
      <c r="H3" s="3" t="s">
        <v>364</v>
      </c>
    </row>
    <row r="4" spans="1:8" x14ac:dyDescent="0.3">
      <c r="A4" s="16" t="s">
        <v>406</v>
      </c>
      <c r="B4" s="14">
        <f>ABS(Config!B9)</f>
        <v>23.81</v>
      </c>
      <c r="C4" s="14">
        <f>Config!B3</f>
        <v>242.66</v>
      </c>
      <c r="D4" s="15">
        <f>IF(C4&gt;0,B4/C4,0)</f>
        <v>9.8120827495260854E-2</v>
      </c>
      <c r="E4" s="16" t="s">
        <v>407</v>
      </c>
      <c r="F4" s="16" t="s">
        <v>408</v>
      </c>
      <c r="G4" s="16" t="str">
        <f>IF(D4&lt;=0.15,"🟢 Controlado","🟡 Atenção")</f>
        <v>🟢 Controlado</v>
      </c>
      <c r="H4" s="16" t="s">
        <v>409</v>
      </c>
    </row>
    <row r="5" spans="1:8" x14ac:dyDescent="0.3">
      <c r="A5" s="16" t="s">
        <v>410</v>
      </c>
      <c r="B5" s="14">
        <f>ABS(Config!B9)*1.5</f>
        <v>35.714999999999996</v>
      </c>
      <c r="C5" s="14">
        <f>Config!B3</f>
        <v>242.66</v>
      </c>
      <c r="D5" s="15">
        <f>IF(C5&gt;0,B5/C5,0)</f>
        <v>0.14718124124289128</v>
      </c>
      <c r="E5" s="16" t="s">
        <v>411</v>
      </c>
      <c r="F5" s="16" t="s">
        <v>412</v>
      </c>
      <c r="G5" s="16" t="str">
        <f>IF(D5&lt;=0.2,"🟡 Atenção","🔴 Stress alto")</f>
        <v>🟡 Atenção</v>
      </c>
      <c r="H5" s="16" t="s">
        <v>413</v>
      </c>
    </row>
    <row r="6" spans="1:8" x14ac:dyDescent="0.3">
      <c r="A6" s="16" t="s">
        <v>414</v>
      </c>
      <c r="B6" s="14">
        <f>ABS(Config!B9)*2</f>
        <v>47.62</v>
      </c>
      <c r="C6" s="14">
        <f>Config!B3</f>
        <v>242.66</v>
      </c>
      <c r="D6" s="15">
        <f>IF(C6&gt;0,B6/C6,0)</f>
        <v>0.19624165499052171</v>
      </c>
      <c r="E6" s="16" t="s">
        <v>415</v>
      </c>
      <c r="F6" s="16" t="s">
        <v>416</v>
      </c>
      <c r="G6" s="16" t="str">
        <f>IF(D6&lt;=0.25,"🟡 Atenção","🔴 Rever")</f>
        <v>🟡 Atenção</v>
      </c>
      <c r="H6" s="16" t="s">
        <v>417</v>
      </c>
    </row>
    <row r="7" spans="1:8" x14ac:dyDescent="0.3">
      <c r="A7" s="16" t="s">
        <v>418</v>
      </c>
      <c r="B7" s="14">
        <f>ABS(Config!B9)</f>
        <v>23.81</v>
      </c>
      <c r="C7" s="54" t="s">
        <v>419</v>
      </c>
      <c r="D7" s="15">
        <f>IF(C7&gt;0,B7/C7,0)</f>
        <v>9.5239999999999991E-2</v>
      </c>
      <c r="E7" s="16" t="s">
        <v>420</v>
      </c>
      <c r="F7" s="16" t="s">
        <v>421</v>
      </c>
      <c r="G7" s="16" t="str">
        <f>IF(D7&lt;=0.12,"🟢 Melhor equilíbrio","🟡")</f>
        <v>🟢 Melhor equilíbrio</v>
      </c>
      <c r="H7" s="16" t="s">
        <v>422</v>
      </c>
    </row>
    <row r="8" spans="1:8" x14ac:dyDescent="0.3">
      <c r="A8" s="16" t="s">
        <v>423</v>
      </c>
      <c r="B8" s="14">
        <f>ABS(Config!B9)</f>
        <v>23.81</v>
      </c>
      <c r="C8" s="54" t="s">
        <v>424</v>
      </c>
      <c r="D8" s="15">
        <f>IF(C8&gt;0,B8/C8,0)</f>
        <v>6.8028571428571424E-2</v>
      </c>
      <c r="E8" s="16" t="s">
        <v>425</v>
      </c>
      <c r="F8" s="16" t="s">
        <v>426</v>
      </c>
      <c r="G8" s="16" t="str">
        <f>IF(D8&lt;=0.1,"🟢 Robusto","🟡")</f>
        <v>🟢 Robusto</v>
      </c>
      <c r="H8" s="16" t="s">
        <v>427</v>
      </c>
    </row>
  </sheetData>
  <sheetProtection sheet="1"/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1"/>
  <sheetViews>
    <sheetView showGridLines="0" workbookViewId="0">
      <selection activeCell="F5" sqref="F5"/>
    </sheetView>
  </sheetViews>
  <sheetFormatPr defaultRowHeight="14.4" x14ac:dyDescent="0.3"/>
  <cols>
    <col min="1" max="1" width="10" customWidth="1"/>
    <col min="2" max="2" width="18" customWidth="1"/>
    <col min="3" max="3" width="14" customWidth="1"/>
    <col min="4" max="5" width="18" customWidth="1"/>
    <col min="6" max="6" width="16" customWidth="1"/>
  </cols>
  <sheetData>
    <row r="1" spans="1:8" ht="18" customHeight="1" x14ac:dyDescent="0.35">
      <c r="A1" s="72" t="s">
        <v>428</v>
      </c>
      <c r="B1" s="64"/>
      <c r="C1" s="64"/>
      <c r="D1" s="64"/>
      <c r="E1" s="64"/>
      <c r="F1" s="64"/>
      <c r="G1" s="64"/>
      <c r="H1" s="64"/>
    </row>
    <row r="3" spans="1:8" x14ac:dyDescent="0.3">
      <c r="A3" s="1" t="s">
        <v>96</v>
      </c>
      <c r="B3" s="2">
        <f>Config!B18</f>
        <v>202.66</v>
      </c>
      <c r="D3" s="6" t="s">
        <v>429</v>
      </c>
    </row>
    <row r="4" spans="1:8" x14ac:dyDescent="0.3">
      <c r="A4" s="1" t="s">
        <v>97</v>
      </c>
      <c r="B4" s="2">
        <f>Config!B4</f>
        <v>55</v>
      </c>
      <c r="D4" s="3" t="s">
        <v>39</v>
      </c>
      <c r="E4" s="3" t="s">
        <v>349</v>
      </c>
      <c r="F4" s="3" t="s">
        <v>350</v>
      </c>
      <c r="G4" s="3" t="s">
        <v>351</v>
      </c>
    </row>
    <row r="5" spans="1:8" x14ac:dyDescent="0.3">
      <c r="A5" s="1" t="s">
        <v>353</v>
      </c>
      <c r="B5" s="2">
        <f>Config!B5</f>
        <v>1.5</v>
      </c>
      <c r="D5">
        <f>B8</f>
        <v>10000</v>
      </c>
      <c r="E5" s="4">
        <f>MAX(D5-B3,0)</f>
        <v>9797.34</v>
      </c>
      <c r="F5" s="9">
        <f>IF((B6+B4)&gt;0,E5/(B6+B4),"")</f>
        <v>127.23818181818181</v>
      </c>
      <c r="G5" t="str">
        <f>IF(E5=0,"Objetivo já atingido",ROUNDUP(F5,0)&amp;" mês(es)")</f>
        <v>128 mês(es)</v>
      </c>
    </row>
    <row r="6" spans="1:8" x14ac:dyDescent="0.3">
      <c r="A6" s="1" t="s">
        <v>111</v>
      </c>
      <c r="B6" s="2">
        <f>Config!B15</f>
        <v>22</v>
      </c>
    </row>
    <row r="7" spans="1:8" x14ac:dyDescent="0.3">
      <c r="A7" s="1" t="s">
        <v>355</v>
      </c>
      <c r="B7" s="2">
        <f>B4*B5</f>
        <v>82.5</v>
      </c>
    </row>
    <row r="8" spans="1:8" x14ac:dyDescent="0.3">
      <c r="A8" s="1" t="s">
        <v>430</v>
      </c>
      <c r="B8" s="7">
        <v>10000</v>
      </c>
    </row>
    <row r="10" spans="1:8" x14ac:dyDescent="0.3">
      <c r="A10" s="6" t="s">
        <v>431</v>
      </c>
    </row>
    <row r="11" spans="1:8" x14ac:dyDescent="0.3">
      <c r="A11" s="3" t="s">
        <v>337</v>
      </c>
      <c r="B11" s="3" t="s">
        <v>1</v>
      </c>
      <c r="C11" s="3" t="s">
        <v>338</v>
      </c>
      <c r="D11" s="3" t="s">
        <v>357</v>
      </c>
      <c r="E11" s="3" t="s">
        <v>340</v>
      </c>
      <c r="F11" s="3" t="s">
        <v>432</v>
      </c>
    </row>
    <row r="12" spans="1:8" x14ac:dyDescent="0.3">
      <c r="A12">
        <v>1</v>
      </c>
      <c r="B12" s="4">
        <f>B3</f>
        <v>202.66</v>
      </c>
      <c r="C12" s="4">
        <f>B4</f>
        <v>55</v>
      </c>
      <c r="D12" s="4">
        <f>B6</f>
        <v>22</v>
      </c>
      <c r="E12" s="4">
        <f t="shared" ref="E12:E43" si="0">B12+C12+D12</f>
        <v>279.65999999999997</v>
      </c>
      <c r="F12" t="str">
        <f>IF(E12&gt;=B8,"Sim","Não")</f>
        <v>Não</v>
      </c>
    </row>
    <row r="13" spans="1:8" x14ac:dyDescent="0.3">
      <c r="A13">
        <v>2</v>
      </c>
      <c r="B13" s="4">
        <f t="shared" ref="B13:B44" si="1">E12</f>
        <v>279.65999999999997</v>
      </c>
      <c r="C13" s="4">
        <f>B4</f>
        <v>55</v>
      </c>
      <c r="D13" s="4">
        <f>B6</f>
        <v>22</v>
      </c>
      <c r="E13" s="4">
        <f t="shared" si="0"/>
        <v>356.65999999999997</v>
      </c>
      <c r="F13" t="str">
        <f>IF(E13&gt;=B8,"Sim","Não")</f>
        <v>Não</v>
      </c>
    </row>
    <row r="14" spans="1:8" x14ac:dyDescent="0.3">
      <c r="A14">
        <v>3</v>
      </c>
      <c r="B14" s="4">
        <f t="shared" si="1"/>
        <v>356.65999999999997</v>
      </c>
      <c r="C14" s="4">
        <f>B4</f>
        <v>55</v>
      </c>
      <c r="D14" s="4">
        <f>B6</f>
        <v>22</v>
      </c>
      <c r="E14" s="4">
        <f t="shared" si="0"/>
        <v>433.65999999999997</v>
      </c>
      <c r="F14" t="str">
        <f>IF(E14&gt;=B8,"Sim","Não")</f>
        <v>Não</v>
      </c>
    </row>
    <row r="15" spans="1:8" x14ac:dyDescent="0.3">
      <c r="A15">
        <v>4</v>
      </c>
      <c r="B15" s="4">
        <f t="shared" si="1"/>
        <v>433.65999999999997</v>
      </c>
      <c r="C15" s="4">
        <f>B4</f>
        <v>55</v>
      </c>
      <c r="D15" s="4">
        <f>B6</f>
        <v>22</v>
      </c>
      <c r="E15" s="4">
        <f t="shared" si="0"/>
        <v>510.65999999999997</v>
      </c>
      <c r="F15" t="str">
        <f>IF(E15&gt;=B8,"Sim","Não")</f>
        <v>Não</v>
      </c>
    </row>
    <row r="16" spans="1:8" x14ac:dyDescent="0.3">
      <c r="A16">
        <v>5</v>
      </c>
      <c r="B16" s="4">
        <f t="shared" si="1"/>
        <v>510.65999999999997</v>
      </c>
      <c r="C16" s="4">
        <f>B4</f>
        <v>55</v>
      </c>
      <c r="D16" s="4">
        <f>B6</f>
        <v>22</v>
      </c>
      <c r="E16" s="4">
        <f t="shared" si="0"/>
        <v>587.66</v>
      </c>
      <c r="F16" t="str">
        <f>IF(E16&gt;=B8,"Sim","Não")</f>
        <v>Não</v>
      </c>
    </row>
    <row r="17" spans="1:6" x14ac:dyDescent="0.3">
      <c r="A17">
        <v>6</v>
      </c>
      <c r="B17" s="4">
        <f t="shared" si="1"/>
        <v>587.66</v>
      </c>
      <c r="C17" s="4">
        <f>B4</f>
        <v>55</v>
      </c>
      <c r="D17" s="4">
        <f>B6</f>
        <v>22</v>
      </c>
      <c r="E17" s="4">
        <f t="shared" si="0"/>
        <v>664.66</v>
      </c>
      <c r="F17" t="str">
        <f>IF(E17&gt;=B8,"Sim","Não")</f>
        <v>Não</v>
      </c>
    </row>
    <row r="18" spans="1:6" x14ac:dyDescent="0.3">
      <c r="A18">
        <v>7</v>
      </c>
      <c r="B18" s="4">
        <f t="shared" si="1"/>
        <v>664.66</v>
      </c>
      <c r="C18" s="4">
        <f>B4</f>
        <v>55</v>
      </c>
      <c r="D18" s="4">
        <f>B6</f>
        <v>22</v>
      </c>
      <c r="E18" s="4">
        <f t="shared" si="0"/>
        <v>741.66</v>
      </c>
      <c r="F18" t="str">
        <f>IF(E18&gt;=B8,"Sim","Não")</f>
        <v>Não</v>
      </c>
    </row>
    <row r="19" spans="1:6" x14ac:dyDescent="0.3">
      <c r="A19">
        <v>8</v>
      </c>
      <c r="B19" s="4">
        <f t="shared" si="1"/>
        <v>741.66</v>
      </c>
      <c r="C19" s="4">
        <f>B4</f>
        <v>55</v>
      </c>
      <c r="D19" s="4">
        <f>B6</f>
        <v>22</v>
      </c>
      <c r="E19" s="4">
        <f t="shared" si="0"/>
        <v>818.66</v>
      </c>
      <c r="F19" t="str">
        <f>IF(E19&gt;=B8,"Sim","Não")</f>
        <v>Não</v>
      </c>
    </row>
    <row r="20" spans="1:6" x14ac:dyDescent="0.3">
      <c r="A20">
        <v>9</v>
      </c>
      <c r="B20" s="4">
        <f t="shared" si="1"/>
        <v>818.66</v>
      </c>
      <c r="C20" s="4">
        <f>B4</f>
        <v>55</v>
      </c>
      <c r="D20" s="4">
        <f>B6</f>
        <v>22</v>
      </c>
      <c r="E20" s="4">
        <f t="shared" si="0"/>
        <v>895.66</v>
      </c>
      <c r="F20" t="str">
        <f>IF(E20&gt;=B8,"Sim","Não")</f>
        <v>Não</v>
      </c>
    </row>
    <row r="21" spans="1:6" x14ac:dyDescent="0.3">
      <c r="A21">
        <v>10</v>
      </c>
      <c r="B21" s="4">
        <f t="shared" si="1"/>
        <v>895.66</v>
      </c>
      <c r="C21" s="4">
        <f>B4</f>
        <v>55</v>
      </c>
      <c r="D21" s="4">
        <f>B6</f>
        <v>22</v>
      </c>
      <c r="E21" s="4">
        <f t="shared" si="0"/>
        <v>972.66</v>
      </c>
      <c r="F21" t="str">
        <f>IF(E21&gt;=B8,"Sim","Não")</f>
        <v>Não</v>
      </c>
    </row>
    <row r="22" spans="1:6" x14ac:dyDescent="0.3">
      <c r="A22">
        <v>11</v>
      </c>
      <c r="B22" s="4">
        <f t="shared" si="1"/>
        <v>972.66</v>
      </c>
      <c r="C22" s="4">
        <f>B4</f>
        <v>55</v>
      </c>
      <c r="D22" s="4">
        <f>B6</f>
        <v>22</v>
      </c>
      <c r="E22" s="4">
        <f t="shared" si="0"/>
        <v>1049.6599999999999</v>
      </c>
      <c r="F22" t="str">
        <f>IF(E22&gt;=B8,"Sim","Não")</f>
        <v>Não</v>
      </c>
    </row>
    <row r="23" spans="1:6" x14ac:dyDescent="0.3">
      <c r="A23">
        <v>12</v>
      </c>
      <c r="B23" s="4">
        <f t="shared" si="1"/>
        <v>1049.6599999999999</v>
      </c>
      <c r="C23" s="4">
        <f>B4</f>
        <v>55</v>
      </c>
      <c r="D23" s="4">
        <f>B6</f>
        <v>22</v>
      </c>
      <c r="E23" s="4">
        <f t="shared" si="0"/>
        <v>1126.6599999999999</v>
      </c>
      <c r="F23" t="str">
        <f>IF(E23&gt;=B8,"Sim","Não")</f>
        <v>Não</v>
      </c>
    </row>
    <row r="24" spans="1:6" x14ac:dyDescent="0.3">
      <c r="A24">
        <v>13</v>
      </c>
      <c r="B24" s="4">
        <f t="shared" si="1"/>
        <v>1126.6599999999999</v>
      </c>
      <c r="C24" s="4">
        <f>B4</f>
        <v>55</v>
      </c>
      <c r="D24" s="4">
        <f>B6</f>
        <v>22</v>
      </c>
      <c r="E24" s="4">
        <f t="shared" si="0"/>
        <v>1203.6599999999999</v>
      </c>
      <c r="F24" t="str">
        <f>IF(E24&gt;=B8,"Sim","Não")</f>
        <v>Não</v>
      </c>
    </row>
    <row r="25" spans="1:6" x14ac:dyDescent="0.3">
      <c r="A25">
        <v>14</v>
      </c>
      <c r="B25" s="4">
        <f t="shared" si="1"/>
        <v>1203.6599999999999</v>
      </c>
      <c r="C25" s="4">
        <f>B4</f>
        <v>55</v>
      </c>
      <c r="D25" s="4">
        <f>B6</f>
        <v>22</v>
      </c>
      <c r="E25" s="4">
        <f t="shared" si="0"/>
        <v>1280.6599999999999</v>
      </c>
      <c r="F25" t="str">
        <f>IF(E25&gt;=B8,"Sim","Não")</f>
        <v>Não</v>
      </c>
    </row>
    <row r="26" spans="1:6" x14ac:dyDescent="0.3">
      <c r="A26">
        <v>15</v>
      </c>
      <c r="B26" s="4">
        <f t="shared" si="1"/>
        <v>1280.6599999999999</v>
      </c>
      <c r="C26" s="4">
        <f>B4</f>
        <v>55</v>
      </c>
      <c r="D26" s="4">
        <f>B6</f>
        <v>22</v>
      </c>
      <c r="E26" s="4">
        <f t="shared" si="0"/>
        <v>1357.6599999999999</v>
      </c>
      <c r="F26" t="str">
        <f>IF(E26&gt;=B8,"Sim","Não")</f>
        <v>Não</v>
      </c>
    </row>
    <row r="27" spans="1:6" x14ac:dyDescent="0.3">
      <c r="A27">
        <v>16</v>
      </c>
      <c r="B27" s="4">
        <f t="shared" si="1"/>
        <v>1357.6599999999999</v>
      </c>
      <c r="C27" s="4">
        <f>B4</f>
        <v>55</v>
      </c>
      <c r="D27" s="4">
        <f>B6</f>
        <v>22</v>
      </c>
      <c r="E27" s="4">
        <f t="shared" si="0"/>
        <v>1434.6599999999999</v>
      </c>
      <c r="F27" t="str">
        <f>IF(E27&gt;=B8,"Sim","Não")</f>
        <v>Não</v>
      </c>
    </row>
    <row r="28" spans="1:6" x14ac:dyDescent="0.3">
      <c r="A28">
        <v>17</v>
      </c>
      <c r="B28" s="4">
        <f t="shared" si="1"/>
        <v>1434.6599999999999</v>
      </c>
      <c r="C28" s="4">
        <f>B4</f>
        <v>55</v>
      </c>
      <c r="D28" s="4">
        <f>B6</f>
        <v>22</v>
      </c>
      <c r="E28" s="4">
        <f t="shared" si="0"/>
        <v>1511.6599999999999</v>
      </c>
      <c r="F28" t="str">
        <f>IF(E28&gt;=B8,"Sim","Não")</f>
        <v>Não</v>
      </c>
    </row>
    <row r="29" spans="1:6" x14ac:dyDescent="0.3">
      <c r="A29">
        <v>18</v>
      </c>
      <c r="B29" s="4">
        <f t="shared" si="1"/>
        <v>1511.6599999999999</v>
      </c>
      <c r="C29" s="4">
        <f>B4</f>
        <v>55</v>
      </c>
      <c r="D29" s="4">
        <f>B6</f>
        <v>22</v>
      </c>
      <c r="E29" s="4">
        <f t="shared" si="0"/>
        <v>1588.6599999999999</v>
      </c>
      <c r="F29" t="str">
        <f>IF(E29&gt;=B8,"Sim","Não")</f>
        <v>Não</v>
      </c>
    </row>
    <row r="30" spans="1:6" x14ac:dyDescent="0.3">
      <c r="A30">
        <v>19</v>
      </c>
      <c r="B30" s="4">
        <f t="shared" si="1"/>
        <v>1588.6599999999999</v>
      </c>
      <c r="C30" s="4">
        <f>B4</f>
        <v>55</v>
      </c>
      <c r="D30" s="4">
        <f>B6</f>
        <v>22</v>
      </c>
      <c r="E30" s="4">
        <f t="shared" si="0"/>
        <v>1665.6599999999999</v>
      </c>
      <c r="F30" t="str">
        <f>IF(E30&gt;=B8,"Sim","Não")</f>
        <v>Não</v>
      </c>
    </row>
    <row r="31" spans="1:6" x14ac:dyDescent="0.3">
      <c r="A31">
        <v>20</v>
      </c>
      <c r="B31" s="4">
        <f t="shared" si="1"/>
        <v>1665.6599999999999</v>
      </c>
      <c r="C31" s="4">
        <f>B4</f>
        <v>55</v>
      </c>
      <c r="D31" s="4">
        <f>B6</f>
        <v>22</v>
      </c>
      <c r="E31" s="4">
        <f t="shared" si="0"/>
        <v>1742.6599999999999</v>
      </c>
      <c r="F31" t="str">
        <f>IF(E31&gt;=B8,"Sim","Não")</f>
        <v>Não</v>
      </c>
    </row>
    <row r="32" spans="1:6" x14ac:dyDescent="0.3">
      <c r="A32">
        <v>21</v>
      </c>
      <c r="B32" s="4">
        <f t="shared" si="1"/>
        <v>1742.6599999999999</v>
      </c>
      <c r="C32" s="4">
        <f>B4</f>
        <v>55</v>
      </c>
      <c r="D32" s="4">
        <f>B6</f>
        <v>22</v>
      </c>
      <c r="E32" s="4">
        <f t="shared" si="0"/>
        <v>1819.6599999999999</v>
      </c>
      <c r="F32" t="str">
        <f>IF(E32&gt;=B8,"Sim","Não")</f>
        <v>Não</v>
      </c>
    </row>
    <row r="33" spans="1:6" x14ac:dyDescent="0.3">
      <c r="A33">
        <v>22</v>
      </c>
      <c r="B33" s="4">
        <f t="shared" si="1"/>
        <v>1819.6599999999999</v>
      </c>
      <c r="C33" s="4">
        <f>B4</f>
        <v>55</v>
      </c>
      <c r="D33" s="4">
        <f>B6</f>
        <v>22</v>
      </c>
      <c r="E33" s="4">
        <f t="shared" si="0"/>
        <v>1896.6599999999999</v>
      </c>
      <c r="F33" t="str">
        <f>IF(E33&gt;=B8,"Sim","Não")</f>
        <v>Não</v>
      </c>
    </row>
    <row r="34" spans="1:6" x14ac:dyDescent="0.3">
      <c r="A34">
        <v>23</v>
      </c>
      <c r="B34" s="4">
        <f t="shared" si="1"/>
        <v>1896.6599999999999</v>
      </c>
      <c r="C34" s="4">
        <f>B4</f>
        <v>55</v>
      </c>
      <c r="D34" s="4">
        <f>B6</f>
        <v>22</v>
      </c>
      <c r="E34" s="4">
        <f t="shared" si="0"/>
        <v>1973.6599999999999</v>
      </c>
      <c r="F34" t="str">
        <f>IF(E34&gt;=B8,"Sim","Não")</f>
        <v>Não</v>
      </c>
    </row>
    <row r="35" spans="1:6" x14ac:dyDescent="0.3">
      <c r="A35">
        <v>24</v>
      </c>
      <c r="B35" s="4">
        <f t="shared" si="1"/>
        <v>1973.6599999999999</v>
      </c>
      <c r="C35" s="4">
        <f>B4</f>
        <v>55</v>
      </c>
      <c r="D35" s="4">
        <f>B6</f>
        <v>22</v>
      </c>
      <c r="E35" s="4">
        <f t="shared" si="0"/>
        <v>2050.66</v>
      </c>
      <c r="F35" t="str">
        <f>IF(E35&gt;=B8,"Sim","Não")</f>
        <v>Não</v>
      </c>
    </row>
    <row r="36" spans="1:6" x14ac:dyDescent="0.3">
      <c r="A36">
        <v>25</v>
      </c>
      <c r="B36" s="4">
        <f t="shared" si="1"/>
        <v>2050.66</v>
      </c>
      <c r="C36" s="4">
        <f>B4</f>
        <v>55</v>
      </c>
      <c r="D36" s="4">
        <f>B6</f>
        <v>22</v>
      </c>
      <c r="E36" s="4">
        <f t="shared" si="0"/>
        <v>2127.66</v>
      </c>
      <c r="F36" t="str">
        <f>IF(E36&gt;=B8,"Sim","Não")</f>
        <v>Não</v>
      </c>
    </row>
    <row r="37" spans="1:6" x14ac:dyDescent="0.3">
      <c r="A37">
        <v>26</v>
      </c>
      <c r="B37" s="4">
        <f t="shared" si="1"/>
        <v>2127.66</v>
      </c>
      <c r="C37" s="4">
        <f>B4</f>
        <v>55</v>
      </c>
      <c r="D37" s="4">
        <f>B6</f>
        <v>22</v>
      </c>
      <c r="E37" s="4">
        <f t="shared" si="0"/>
        <v>2204.66</v>
      </c>
      <c r="F37" t="str">
        <f>IF(E37&gt;=B8,"Sim","Não")</f>
        <v>Não</v>
      </c>
    </row>
    <row r="38" spans="1:6" x14ac:dyDescent="0.3">
      <c r="A38">
        <v>27</v>
      </c>
      <c r="B38" s="4">
        <f t="shared" si="1"/>
        <v>2204.66</v>
      </c>
      <c r="C38" s="4">
        <f>B4</f>
        <v>55</v>
      </c>
      <c r="D38" s="4">
        <f>B6</f>
        <v>22</v>
      </c>
      <c r="E38" s="4">
        <f t="shared" si="0"/>
        <v>2281.66</v>
      </c>
      <c r="F38" t="str">
        <f>IF(E38&gt;=B8,"Sim","Não")</f>
        <v>Não</v>
      </c>
    </row>
    <row r="39" spans="1:6" x14ac:dyDescent="0.3">
      <c r="A39">
        <v>28</v>
      </c>
      <c r="B39" s="4">
        <f t="shared" si="1"/>
        <v>2281.66</v>
      </c>
      <c r="C39" s="4">
        <f>B4</f>
        <v>55</v>
      </c>
      <c r="D39" s="4">
        <f>B6</f>
        <v>22</v>
      </c>
      <c r="E39" s="4">
        <f t="shared" si="0"/>
        <v>2358.66</v>
      </c>
      <c r="F39" t="str">
        <f>IF(E39&gt;=B8,"Sim","Não")</f>
        <v>Não</v>
      </c>
    </row>
    <row r="40" spans="1:6" x14ac:dyDescent="0.3">
      <c r="A40">
        <v>29</v>
      </c>
      <c r="B40" s="4">
        <f t="shared" si="1"/>
        <v>2358.66</v>
      </c>
      <c r="C40" s="4">
        <f>B4</f>
        <v>55</v>
      </c>
      <c r="D40" s="4">
        <f>B6</f>
        <v>22</v>
      </c>
      <c r="E40" s="4">
        <f t="shared" si="0"/>
        <v>2435.66</v>
      </c>
      <c r="F40" t="str">
        <f>IF(E40&gt;=B8,"Sim","Não")</f>
        <v>Não</v>
      </c>
    </row>
    <row r="41" spans="1:6" x14ac:dyDescent="0.3">
      <c r="A41">
        <v>30</v>
      </c>
      <c r="B41" s="4">
        <f t="shared" si="1"/>
        <v>2435.66</v>
      </c>
      <c r="C41" s="4">
        <f>B4</f>
        <v>55</v>
      </c>
      <c r="D41" s="4">
        <f>B6</f>
        <v>22</v>
      </c>
      <c r="E41" s="4">
        <f t="shared" si="0"/>
        <v>2512.66</v>
      </c>
      <c r="F41" t="str">
        <f>IF(E41&gt;=B8,"Sim","Não")</f>
        <v>Não</v>
      </c>
    </row>
    <row r="42" spans="1:6" x14ac:dyDescent="0.3">
      <c r="A42">
        <v>31</v>
      </c>
      <c r="B42" s="4">
        <f t="shared" si="1"/>
        <v>2512.66</v>
      </c>
      <c r="C42" s="4">
        <f>B4</f>
        <v>55</v>
      </c>
      <c r="D42" s="4">
        <f>B6</f>
        <v>22</v>
      </c>
      <c r="E42" s="4">
        <f t="shared" si="0"/>
        <v>2589.66</v>
      </c>
      <c r="F42" t="str">
        <f>IF(E42&gt;=B8,"Sim","Não")</f>
        <v>Não</v>
      </c>
    </row>
    <row r="43" spans="1:6" x14ac:dyDescent="0.3">
      <c r="A43">
        <v>32</v>
      </c>
      <c r="B43" s="4">
        <f t="shared" si="1"/>
        <v>2589.66</v>
      </c>
      <c r="C43" s="4">
        <f>B4</f>
        <v>55</v>
      </c>
      <c r="D43" s="4">
        <f>B6</f>
        <v>22</v>
      </c>
      <c r="E43" s="4">
        <f t="shared" si="0"/>
        <v>2666.66</v>
      </c>
      <c r="F43" t="str">
        <f>IF(E43&gt;=B8,"Sim","Não")</f>
        <v>Não</v>
      </c>
    </row>
    <row r="44" spans="1:6" x14ac:dyDescent="0.3">
      <c r="A44">
        <v>33</v>
      </c>
      <c r="B44" s="4">
        <f t="shared" si="1"/>
        <v>2666.66</v>
      </c>
      <c r="C44" s="4">
        <f>B4</f>
        <v>55</v>
      </c>
      <c r="D44" s="4">
        <f>B6</f>
        <v>22</v>
      </c>
      <c r="E44" s="4">
        <f t="shared" ref="E44:E75" si="2">B44+C44+D44</f>
        <v>2743.66</v>
      </c>
      <c r="F44" t="str">
        <f>IF(E44&gt;=B8,"Sim","Não")</f>
        <v>Não</v>
      </c>
    </row>
    <row r="45" spans="1:6" x14ac:dyDescent="0.3">
      <c r="A45">
        <v>34</v>
      </c>
      <c r="B45" s="4">
        <f t="shared" ref="B45:B76" si="3">E44</f>
        <v>2743.66</v>
      </c>
      <c r="C45" s="4">
        <f>B4</f>
        <v>55</v>
      </c>
      <c r="D45" s="4">
        <f>B6</f>
        <v>22</v>
      </c>
      <c r="E45" s="4">
        <f t="shared" si="2"/>
        <v>2820.66</v>
      </c>
      <c r="F45" t="str">
        <f>IF(E45&gt;=B8,"Sim","Não")</f>
        <v>Não</v>
      </c>
    </row>
    <row r="46" spans="1:6" x14ac:dyDescent="0.3">
      <c r="A46">
        <v>35</v>
      </c>
      <c r="B46" s="4">
        <f t="shared" si="3"/>
        <v>2820.66</v>
      </c>
      <c r="C46" s="4">
        <f>B4</f>
        <v>55</v>
      </c>
      <c r="D46" s="4">
        <f>B6</f>
        <v>22</v>
      </c>
      <c r="E46" s="4">
        <f t="shared" si="2"/>
        <v>2897.66</v>
      </c>
      <c r="F46" t="str">
        <f>IF(E46&gt;=B8,"Sim","Não")</f>
        <v>Não</v>
      </c>
    </row>
    <row r="47" spans="1:6" x14ac:dyDescent="0.3">
      <c r="A47">
        <v>36</v>
      </c>
      <c r="B47" s="4">
        <f t="shared" si="3"/>
        <v>2897.66</v>
      </c>
      <c r="C47" s="4">
        <f>B4</f>
        <v>55</v>
      </c>
      <c r="D47" s="4">
        <f>B6</f>
        <v>22</v>
      </c>
      <c r="E47" s="4">
        <f t="shared" si="2"/>
        <v>2974.66</v>
      </c>
      <c r="F47" t="str">
        <f>IF(E47&gt;=B8,"Sim","Não")</f>
        <v>Não</v>
      </c>
    </row>
    <row r="48" spans="1:6" x14ac:dyDescent="0.3">
      <c r="A48">
        <v>37</v>
      </c>
      <c r="B48" s="4">
        <f t="shared" si="3"/>
        <v>2974.66</v>
      </c>
      <c r="C48" s="4">
        <f>B4</f>
        <v>55</v>
      </c>
      <c r="D48" s="4">
        <f>B6</f>
        <v>22</v>
      </c>
      <c r="E48" s="4">
        <f t="shared" si="2"/>
        <v>3051.66</v>
      </c>
      <c r="F48" t="str">
        <f>IF(E48&gt;=B8,"Sim","Não")</f>
        <v>Não</v>
      </c>
    </row>
    <row r="49" spans="1:6" x14ac:dyDescent="0.3">
      <c r="A49">
        <v>38</v>
      </c>
      <c r="B49" s="4">
        <f t="shared" si="3"/>
        <v>3051.66</v>
      </c>
      <c r="C49" s="4">
        <f>B4</f>
        <v>55</v>
      </c>
      <c r="D49" s="4">
        <f>B6</f>
        <v>22</v>
      </c>
      <c r="E49" s="4">
        <f t="shared" si="2"/>
        <v>3128.66</v>
      </c>
      <c r="F49" t="str">
        <f>IF(E49&gt;=B8,"Sim","Não")</f>
        <v>Não</v>
      </c>
    </row>
    <row r="50" spans="1:6" x14ac:dyDescent="0.3">
      <c r="A50">
        <v>39</v>
      </c>
      <c r="B50" s="4">
        <f t="shared" si="3"/>
        <v>3128.66</v>
      </c>
      <c r="C50" s="4">
        <f>B4</f>
        <v>55</v>
      </c>
      <c r="D50" s="4">
        <f>B6</f>
        <v>22</v>
      </c>
      <c r="E50" s="4">
        <f t="shared" si="2"/>
        <v>3205.66</v>
      </c>
      <c r="F50" t="str">
        <f>IF(E50&gt;=B8,"Sim","Não")</f>
        <v>Não</v>
      </c>
    </row>
    <row r="51" spans="1:6" x14ac:dyDescent="0.3">
      <c r="A51">
        <v>40</v>
      </c>
      <c r="B51" s="4">
        <f t="shared" si="3"/>
        <v>3205.66</v>
      </c>
      <c r="C51" s="4">
        <f>B4</f>
        <v>55</v>
      </c>
      <c r="D51" s="4">
        <f>B6</f>
        <v>22</v>
      </c>
      <c r="E51" s="4">
        <f t="shared" si="2"/>
        <v>3282.66</v>
      </c>
      <c r="F51" t="str">
        <f>IF(E51&gt;=B8,"Sim","Não")</f>
        <v>Não</v>
      </c>
    </row>
    <row r="52" spans="1:6" x14ac:dyDescent="0.3">
      <c r="A52">
        <v>41</v>
      </c>
      <c r="B52" s="4">
        <f t="shared" si="3"/>
        <v>3282.66</v>
      </c>
      <c r="C52" s="4">
        <f>B4</f>
        <v>55</v>
      </c>
      <c r="D52" s="4">
        <f>B6</f>
        <v>22</v>
      </c>
      <c r="E52" s="4">
        <f t="shared" si="2"/>
        <v>3359.66</v>
      </c>
      <c r="F52" t="str">
        <f>IF(E52&gt;=B8,"Sim","Não")</f>
        <v>Não</v>
      </c>
    </row>
    <row r="53" spans="1:6" x14ac:dyDescent="0.3">
      <c r="A53">
        <v>42</v>
      </c>
      <c r="B53" s="4">
        <f t="shared" si="3"/>
        <v>3359.66</v>
      </c>
      <c r="C53" s="4">
        <f>B4</f>
        <v>55</v>
      </c>
      <c r="D53" s="4">
        <f>B6</f>
        <v>22</v>
      </c>
      <c r="E53" s="4">
        <f t="shared" si="2"/>
        <v>3436.66</v>
      </c>
      <c r="F53" t="str">
        <f>IF(E53&gt;=B8,"Sim","Não")</f>
        <v>Não</v>
      </c>
    </row>
    <row r="54" spans="1:6" x14ac:dyDescent="0.3">
      <c r="A54">
        <v>43</v>
      </c>
      <c r="B54" s="4">
        <f t="shared" si="3"/>
        <v>3436.66</v>
      </c>
      <c r="C54" s="4">
        <f>B4</f>
        <v>55</v>
      </c>
      <c r="D54" s="4">
        <f>B6</f>
        <v>22</v>
      </c>
      <c r="E54" s="4">
        <f t="shared" si="2"/>
        <v>3513.66</v>
      </c>
      <c r="F54" t="str">
        <f>IF(E54&gt;=B8,"Sim","Não")</f>
        <v>Não</v>
      </c>
    </row>
    <row r="55" spans="1:6" x14ac:dyDescent="0.3">
      <c r="A55">
        <v>44</v>
      </c>
      <c r="B55" s="4">
        <f t="shared" si="3"/>
        <v>3513.66</v>
      </c>
      <c r="C55" s="4">
        <f>B4</f>
        <v>55</v>
      </c>
      <c r="D55" s="4">
        <f>B6</f>
        <v>22</v>
      </c>
      <c r="E55" s="4">
        <f t="shared" si="2"/>
        <v>3590.66</v>
      </c>
      <c r="F55" t="str">
        <f>IF(E55&gt;=B8,"Sim","Não")</f>
        <v>Não</v>
      </c>
    </row>
    <row r="56" spans="1:6" x14ac:dyDescent="0.3">
      <c r="A56">
        <v>45</v>
      </c>
      <c r="B56" s="4">
        <f t="shared" si="3"/>
        <v>3590.66</v>
      </c>
      <c r="C56" s="4">
        <f>B4</f>
        <v>55</v>
      </c>
      <c r="D56" s="4">
        <f>B6</f>
        <v>22</v>
      </c>
      <c r="E56" s="4">
        <f t="shared" si="2"/>
        <v>3667.66</v>
      </c>
      <c r="F56" t="str">
        <f>IF(E56&gt;=B8,"Sim","Não")</f>
        <v>Não</v>
      </c>
    </row>
    <row r="57" spans="1:6" x14ac:dyDescent="0.3">
      <c r="A57">
        <v>46</v>
      </c>
      <c r="B57" s="4">
        <f t="shared" si="3"/>
        <v>3667.66</v>
      </c>
      <c r="C57" s="4">
        <f>B4</f>
        <v>55</v>
      </c>
      <c r="D57" s="4">
        <f>B6</f>
        <v>22</v>
      </c>
      <c r="E57" s="4">
        <f t="shared" si="2"/>
        <v>3744.66</v>
      </c>
      <c r="F57" t="str">
        <f>IF(E57&gt;=B8,"Sim","Não")</f>
        <v>Não</v>
      </c>
    </row>
    <row r="58" spans="1:6" x14ac:dyDescent="0.3">
      <c r="A58">
        <v>47</v>
      </c>
      <c r="B58" s="4">
        <f t="shared" si="3"/>
        <v>3744.66</v>
      </c>
      <c r="C58" s="4">
        <f>B4</f>
        <v>55</v>
      </c>
      <c r="D58" s="4">
        <f>B6</f>
        <v>22</v>
      </c>
      <c r="E58" s="4">
        <f t="shared" si="2"/>
        <v>3821.66</v>
      </c>
      <c r="F58" t="str">
        <f>IF(E58&gt;=B8,"Sim","Não")</f>
        <v>Não</v>
      </c>
    </row>
    <row r="59" spans="1:6" x14ac:dyDescent="0.3">
      <c r="A59">
        <v>48</v>
      </c>
      <c r="B59" s="4">
        <f t="shared" si="3"/>
        <v>3821.66</v>
      </c>
      <c r="C59" s="4">
        <f>B4</f>
        <v>55</v>
      </c>
      <c r="D59" s="4">
        <f>B6</f>
        <v>22</v>
      </c>
      <c r="E59" s="4">
        <f t="shared" si="2"/>
        <v>3898.66</v>
      </c>
      <c r="F59" t="str">
        <f>IF(E59&gt;=B8,"Sim","Não")</f>
        <v>Não</v>
      </c>
    </row>
    <row r="60" spans="1:6" x14ac:dyDescent="0.3">
      <c r="A60">
        <v>49</v>
      </c>
      <c r="B60" s="4">
        <f t="shared" si="3"/>
        <v>3898.66</v>
      </c>
      <c r="C60" s="4">
        <f>B4</f>
        <v>55</v>
      </c>
      <c r="D60" s="4">
        <f>B6</f>
        <v>22</v>
      </c>
      <c r="E60" s="4">
        <f t="shared" si="2"/>
        <v>3975.66</v>
      </c>
      <c r="F60" t="str">
        <f>IF(E60&gt;=B8,"Sim","Não")</f>
        <v>Não</v>
      </c>
    </row>
    <row r="61" spans="1:6" x14ac:dyDescent="0.3">
      <c r="A61">
        <v>50</v>
      </c>
      <c r="B61" s="4">
        <f t="shared" si="3"/>
        <v>3975.66</v>
      </c>
      <c r="C61" s="4">
        <f>B4</f>
        <v>55</v>
      </c>
      <c r="D61" s="4">
        <f>B6</f>
        <v>22</v>
      </c>
      <c r="E61" s="4">
        <f t="shared" si="2"/>
        <v>4052.66</v>
      </c>
      <c r="F61" t="str">
        <f>IF(E61&gt;=B8,"Sim","Não")</f>
        <v>Não</v>
      </c>
    </row>
    <row r="62" spans="1:6" x14ac:dyDescent="0.3">
      <c r="A62">
        <v>51</v>
      </c>
      <c r="B62" s="4">
        <f t="shared" si="3"/>
        <v>4052.66</v>
      </c>
      <c r="C62" s="4">
        <f>B4</f>
        <v>55</v>
      </c>
      <c r="D62" s="4">
        <f>B6</f>
        <v>22</v>
      </c>
      <c r="E62" s="4">
        <f t="shared" si="2"/>
        <v>4129.66</v>
      </c>
      <c r="F62" t="str">
        <f>IF(E62&gt;=B8,"Sim","Não")</f>
        <v>Não</v>
      </c>
    </row>
    <row r="63" spans="1:6" x14ac:dyDescent="0.3">
      <c r="A63">
        <v>52</v>
      </c>
      <c r="B63" s="4">
        <f t="shared" si="3"/>
        <v>4129.66</v>
      </c>
      <c r="C63" s="4">
        <f>B4</f>
        <v>55</v>
      </c>
      <c r="D63" s="4">
        <f>B6</f>
        <v>22</v>
      </c>
      <c r="E63" s="4">
        <f t="shared" si="2"/>
        <v>4206.66</v>
      </c>
      <c r="F63" t="str">
        <f>IF(E63&gt;=B8,"Sim","Não")</f>
        <v>Não</v>
      </c>
    </row>
    <row r="64" spans="1:6" x14ac:dyDescent="0.3">
      <c r="A64">
        <v>53</v>
      </c>
      <c r="B64" s="4">
        <f t="shared" si="3"/>
        <v>4206.66</v>
      </c>
      <c r="C64" s="4">
        <f>B4</f>
        <v>55</v>
      </c>
      <c r="D64" s="4">
        <f>B6</f>
        <v>22</v>
      </c>
      <c r="E64" s="4">
        <f t="shared" si="2"/>
        <v>4283.66</v>
      </c>
      <c r="F64" t="str">
        <f>IF(E64&gt;=B8,"Sim","Não")</f>
        <v>Não</v>
      </c>
    </row>
    <row r="65" spans="1:6" x14ac:dyDescent="0.3">
      <c r="A65">
        <v>54</v>
      </c>
      <c r="B65" s="4">
        <f t="shared" si="3"/>
        <v>4283.66</v>
      </c>
      <c r="C65" s="4">
        <f>B4</f>
        <v>55</v>
      </c>
      <c r="D65" s="4">
        <f>B6</f>
        <v>22</v>
      </c>
      <c r="E65" s="4">
        <f t="shared" si="2"/>
        <v>4360.66</v>
      </c>
      <c r="F65" t="str">
        <f>IF(E65&gt;=B8,"Sim","Não")</f>
        <v>Não</v>
      </c>
    </row>
    <row r="66" spans="1:6" x14ac:dyDescent="0.3">
      <c r="A66">
        <v>55</v>
      </c>
      <c r="B66" s="4">
        <f t="shared" si="3"/>
        <v>4360.66</v>
      </c>
      <c r="C66" s="4">
        <f>B4</f>
        <v>55</v>
      </c>
      <c r="D66" s="4">
        <f>B6</f>
        <v>22</v>
      </c>
      <c r="E66" s="4">
        <f t="shared" si="2"/>
        <v>4437.66</v>
      </c>
      <c r="F66" t="str">
        <f>IF(E66&gt;=B8,"Sim","Não")</f>
        <v>Não</v>
      </c>
    </row>
    <row r="67" spans="1:6" x14ac:dyDescent="0.3">
      <c r="A67">
        <v>56</v>
      </c>
      <c r="B67" s="4">
        <f t="shared" si="3"/>
        <v>4437.66</v>
      </c>
      <c r="C67" s="4">
        <f>B4</f>
        <v>55</v>
      </c>
      <c r="D67" s="4">
        <f>B6</f>
        <v>22</v>
      </c>
      <c r="E67" s="4">
        <f t="shared" si="2"/>
        <v>4514.66</v>
      </c>
      <c r="F67" t="str">
        <f>IF(E67&gt;=B8,"Sim","Não")</f>
        <v>Não</v>
      </c>
    </row>
    <row r="68" spans="1:6" x14ac:dyDescent="0.3">
      <c r="A68">
        <v>57</v>
      </c>
      <c r="B68" s="4">
        <f t="shared" si="3"/>
        <v>4514.66</v>
      </c>
      <c r="C68" s="4">
        <f>B4</f>
        <v>55</v>
      </c>
      <c r="D68" s="4">
        <f>B6</f>
        <v>22</v>
      </c>
      <c r="E68" s="4">
        <f t="shared" si="2"/>
        <v>4591.66</v>
      </c>
      <c r="F68" t="str">
        <f>IF(E68&gt;=B8,"Sim","Não")</f>
        <v>Não</v>
      </c>
    </row>
    <row r="69" spans="1:6" x14ac:dyDescent="0.3">
      <c r="A69">
        <v>58</v>
      </c>
      <c r="B69" s="4">
        <f t="shared" si="3"/>
        <v>4591.66</v>
      </c>
      <c r="C69" s="4">
        <f>B4</f>
        <v>55</v>
      </c>
      <c r="D69" s="4">
        <f>B6</f>
        <v>22</v>
      </c>
      <c r="E69" s="4">
        <f t="shared" si="2"/>
        <v>4668.66</v>
      </c>
      <c r="F69" t="str">
        <f>IF(E69&gt;=B8,"Sim","Não")</f>
        <v>Não</v>
      </c>
    </row>
    <row r="70" spans="1:6" x14ac:dyDescent="0.3">
      <c r="A70">
        <v>59</v>
      </c>
      <c r="B70" s="4">
        <f t="shared" si="3"/>
        <v>4668.66</v>
      </c>
      <c r="C70" s="4">
        <f>B4</f>
        <v>55</v>
      </c>
      <c r="D70" s="4">
        <f>B6</f>
        <v>22</v>
      </c>
      <c r="E70" s="4">
        <f t="shared" si="2"/>
        <v>4745.66</v>
      </c>
      <c r="F70" t="str">
        <f>IF(E70&gt;=B8,"Sim","Não")</f>
        <v>Não</v>
      </c>
    </row>
    <row r="71" spans="1:6" x14ac:dyDescent="0.3">
      <c r="A71">
        <v>60</v>
      </c>
      <c r="B71" s="4">
        <f t="shared" si="3"/>
        <v>4745.66</v>
      </c>
      <c r="C71" s="4">
        <f>B4</f>
        <v>55</v>
      </c>
      <c r="D71" s="4">
        <f>B6</f>
        <v>22</v>
      </c>
      <c r="E71" s="4">
        <f t="shared" si="2"/>
        <v>4822.66</v>
      </c>
      <c r="F71" t="str">
        <f>IF(E71&gt;=B8,"Sim","Não")</f>
        <v>Não</v>
      </c>
    </row>
    <row r="72" spans="1:6" x14ac:dyDescent="0.3">
      <c r="A72">
        <v>61</v>
      </c>
      <c r="B72" s="4">
        <f t="shared" si="3"/>
        <v>4822.66</v>
      </c>
      <c r="C72" s="4">
        <f>B4</f>
        <v>55</v>
      </c>
      <c r="D72" s="4">
        <f>B6</f>
        <v>22</v>
      </c>
      <c r="E72" s="4">
        <f t="shared" si="2"/>
        <v>4899.66</v>
      </c>
      <c r="F72" t="str">
        <f>IF(E72&gt;=B8,"Sim","Não")</f>
        <v>Não</v>
      </c>
    </row>
    <row r="73" spans="1:6" x14ac:dyDescent="0.3">
      <c r="A73">
        <v>62</v>
      </c>
      <c r="B73" s="4">
        <f t="shared" si="3"/>
        <v>4899.66</v>
      </c>
      <c r="C73" s="4">
        <f>B4</f>
        <v>55</v>
      </c>
      <c r="D73" s="4">
        <f>B6</f>
        <v>22</v>
      </c>
      <c r="E73" s="4">
        <f t="shared" si="2"/>
        <v>4976.66</v>
      </c>
      <c r="F73" t="str">
        <f>IF(E73&gt;=B8,"Sim","Não")</f>
        <v>Não</v>
      </c>
    </row>
    <row r="74" spans="1:6" x14ac:dyDescent="0.3">
      <c r="A74">
        <v>63</v>
      </c>
      <c r="B74" s="4">
        <f t="shared" si="3"/>
        <v>4976.66</v>
      </c>
      <c r="C74" s="4">
        <f>B4</f>
        <v>55</v>
      </c>
      <c r="D74" s="4">
        <f>B6</f>
        <v>22</v>
      </c>
      <c r="E74" s="4">
        <f t="shared" si="2"/>
        <v>5053.66</v>
      </c>
      <c r="F74" t="str">
        <f>IF(E74&gt;=B8,"Sim","Não")</f>
        <v>Não</v>
      </c>
    </row>
    <row r="75" spans="1:6" x14ac:dyDescent="0.3">
      <c r="A75">
        <v>64</v>
      </c>
      <c r="B75" s="4">
        <f t="shared" si="3"/>
        <v>5053.66</v>
      </c>
      <c r="C75" s="4">
        <f>B4</f>
        <v>55</v>
      </c>
      <c r="D75" s="4">
        <f>B6</f>
        <v>22</v>
      </c>
      <c r="E75" s="4">
        <f t="shared" si="2"/>
        <v>5130.66</v>
      </c>
      <c r="F75" t="str">
        <f>IF(E75&gt;=B8,"Sim","Não")</f>
        <v>Não</v>
      </c>
    </row>
    <row r="76" spans="1:6" x14ac:dyDescent="0.3">
      <c r="A76">
        <v>65</v>
      </c>
      <c r="B76" s="4">
        <f t="shared" si="3"/>
        <v>5130.66</v>
      </c>
      <c r="C76" s="4">
        <f>B4</f>
        <v>55</v>
      </c>
      <c r="D76" s="4">
        <f>B6</f>
        <v>22</v>
      </c>
      <c r="E76" s="4">
        <f t="shared" ref="E76:E107" si="4">B76+C76+D76</f>
        <v>5207.66</v>
      </c>
      <c r="F76" t="str">
        <f>IF(E76&gt;=B8,"Sim","Não")</f>
        <v>Não</v>
      </c>
    </row>
    <row r="77" spans="1:6" x14ac:dyDescent="0.3">
      <c r="A77">
        <v>66</v>
      </c>
      <c r="B77" s="4">
        <f t="shared" ref="B77:B108" si="5">E76</f>
        <v>5207.66</v>
      </c>
      <c r="C77" s="4">
        <f>B4</f>
        <v>55</v>
      </c>
      <c r="D77" s="4">
        <f>B6</f>
        <v>22</v>
      </c>
      <c r="E77" s="4">
        <f t="shared" si="4"/>
        <v>5284.66</v>
      </c>
      <c r="F77" t="str">
        <f>IF(E77&gt;=B8,"Sim","Não")</f>
        <v>Não</v>
      </c>
    </row>
    <row r="78" spans="1:6" x14ac:dyDescent="0.3">
      <c r="A78">
        <v>67</v>
      </c>
      <c r="B78" s="4">
        <f t="shared" si="5"/>
        <v>5284.66</v>
      </c>
      <c r="C78" s="4">
        <f>B4</f>
        <v>55</v>
      </c>
      <c r="D78" s="4">
        <f>B6</f>
        <v>22</v>
      </c>
      <c r="E78" s="4">
        <f t="shared" si="4"/>
        <v>5361.66</v>
      </c>
      <c r="F78" t="str">
        <f>IF(E78&gt;=B8,"Sim","Não")</f>
        <v>Não</v>
      </c>
    </row>
    <row r="79" spans="1:6" x14ac:dyDescent="0.3">
      <c r="A79">
        <v>68</v>
      </c>
      <c r="B79" s="4">
        <f t="shared" si="5"/>
        <v>5361.66</v>
      </c>
      <c r="C79" s="4">
        <f>B4</f>
        <v>55</v>
      </c>
      <c r="D79" s="4">
        <f>B6</f>
        <v>22</v>
      </c>
      <c r="E79" s="4">
        <f t="shared" si="4"/>
        <v>5438.66</v>
      </c>
      <c r="F79" t="str">
        <f>IF(E79&gt;=B8,"Sim","Não")</f>
        <v>Não</v>
      </c>
    </row>
    <row r="80" spans="1:6" x14ac:dyDescent="0.3">
      <c r="A80">
        <v>69</v>
      </c>
      <c r="B80" s="4">
        <f t="shared" si="5"/>
        <v>5438.66</v>
      </c>
      <c r="C80" s="4">
        <f>B4</f>
        <v>55</v>
      </c>
      <c r="D80" s="4">
        <f>B6</f>
        <v>22</v>
      </c>
      <c r="E80" s="4">
        <f t="shared" si="4"/>
        <v>5515.66</v>
      </c>
      <c r="F80" t="str">
        <f>IF(E80&gt;=B8,"Sim","Não")</f>
        <v>Não</v>
      </c>
    </row>
    <row r="81" spans="1:6" x14ac:dyDescent="0.3">
      <c r="A81">
        <v>70</v>
      </c>
      <c r="B81" s="4">
        <f t="shared" si="5"/>
        <v>5515.66</v>
      </c>
      <c r="C81" s="4">
        <f>B4</f>
        <v>55</v>
      </c>
      <c r="D81" s="4">
        <f>B6</f>
        <v>22</v>
      </c>
      <c r="E81" s="4">
        <f t="shared" si="4"/>
        <v>5592.66</v>
      </c>
      <c r="F81" t="str">
        <f>IF(E81&gt;=B8,"Sim","Não")</f>
        <v>Não</v>
      </c>
    </row>
    <row r="82" spans="1:6" x14ac:dyDescent="0.3">
      <c r="A82">
        <v>71</v>
      </c>
      <c r="B82" s="4">
        <f t="shared" si="5"/>
        <v>5592.66</v>
      </c>
      <c r="C82" s="4">
        <f>B4</f>
        <v>55</v>
      </c>
      <c r="D82" s="4">
        <f>B6</f>
        <v>22</v>
      </c>
      <c r="E82" s="4">
        <f t="shared" si="4"/>
        <v>5669.66</v>
      </c>
      <c r="F82" t="str">
        <f>IF(E82&gt;=B8,"Sim","Não")</f>
        <v>Não</v>
      </c>
    </row>
    <row r="83" spans="1:6" x14ac:dyDescent="0.3">
      <c r="A83">
        <v>72</v>
      </c>
      <c r="B83" s="4">
        <f t="shared" si="5"/>
        <v>5669.66</v>
      </c>
      <c r="C83" s="4">
        <f>B4</f>
        <v>55</v>
      </c>
      <c r="D83" s="4">
        <f>B6</f>
        <v>22</v>
      </c>
      <c r="E83" s="4">
        <f t="shared" si="4"/>
        <v>5746.66</v>
      </c>
      <c r="F83" t="str">
        <f>IF(E83&gt;=B8,"Sim","Não")</f>
        <v>Não</v>
      </c>
    </row>
    <row r="84" spans="1:6" x14ac:dyDescent="0.3">
      <c r="A84">
        <v>73</v>
      </c>
      <c r="B84" s="4">
        <f t="shared" si="5"/>
        <v>5746.66</v>
      </c>
      <c r="C84" s="4">
        <f>B4</f>
        <v>55</v>
      </c>
      <c r="D84" s="4">
        <f>B6</f>
        <v>22</v>
      </c>
      <c r="E84" s="4">
        <f t="shared" si="4"/>
        <v>5823.66</v>
      </c>
      <c r="F84" t="str">
        <f>IF(E84&gt;=B8,"Sim","Não")</f>
        <v>Não</v>
      </c>
    </row>
    <row r="85" spans="1:6" x14ac:dyDescent="0.3">
      <c r="A85">
        <v>74</v>
      </c>
      <c r="B85" s="4">
        <f t="shared" si="5"/>
        <v>5823.66</v>
      </c>
      <c r="C85" s="4">
        <f>B4</f>
        <v>55</v>
      </c>
      <c r="D85" s="4">
        <f>B6</f>
        <v>22</v>
      </c>
      <c r="E85" s="4">
        <f t="shared" si="4"/>
        <v>5900.66</v>
      </c>
      <c r="F85" t="str">
        <f>IF(E85&gt;=B8,"Sim","Não")</f>
        <v>Não</v>
      </c>
    </row>
    <row r="86" spans="1:6" x14ac:dyDescent="0.3">
      <c r="A86">
        <v>75</v>
      </c>
      <c r="B86" s="4">
        <f t="shared" si="5"/>
        <v>5900.66</v>
      </c>
      <c r="C86" s="4">
        <f>B4</f>
        <v>55</v>
      </c>
      <c r="D86" s="4">
        <f>B6</f>
        <v>22</v>
      </c>
      <c r="E86" s="4">
        <f t="shared" si="4"/>
        <v>5977.66</v>
      </c>
      <c r="F86" t="str">
        <f>IF(E86&gt;=B8,"Sim","Não")</f>
        <v>Não</v>
      </c>
    </row>
    <row r="87" spans="1:6" x14ac:dyDescent="0.3">
      <c r="A87">
        <v>76</v>
      </c>
      <c r="B87" s="4">
        <f t="shared" si="5"/>
        <v>5977.66</v>
      </c>
      <c r="C87" s="4">
        <f>B4</f>
        <v>55</v>
      </c>
      <c r="D87" s="4">
        <f>B6</f>
        <v>22</v>
      </c>
      <c r="E87" s="4">
        <f t="shared" si="4"/>
        <v>6054.66</v>
      </c>
      <c r="F87" t="str">
        <f>IF(E87&gt;=B8,"Sim","Não")</f>
        <v>Não</v>
      </c>
    </row>
    <row r="88" spans="1:6" x14ac:dyDescent="0.3">
      <c r="A88">
        <v>77</v>
      </c>
      <c r="B88" s="4">
        <f t="shared" si="5"/>
        <v>6054.66</v>
      </c>
      <c r="C88" s="4">
        <f>B4</f>
        <v>55</v>
      </c>
      <c r="D88" s="4">
        <f>B6</f>
        <v>22</v>
      </c>
      <c r="E88" s="4">
        <f t="shared" si="4"/>
        <v>6131.66</v>
      </c>
      <c r="F88" t="str">
        <f>IF(E88&gt;=B8,"Sim","Não")</f>
        <v>Não</v>
      </c>
    </row>
    <row r="89" spans="1:6" x14ac:dyDescent="0.3">
      <c r="A89">
        <v>78</v>
      </c>
      <c r="B89" s="4">
        <f t="shared" si="5"/>
        <v>6131.66</v>
      </c>
      <c r="C89" s="4">
        <f>B4</f>
        <v>55</v>
      </c>
      <c r="D89" s="4">
        <f>B6</f>
        <v>22</v>
      </c>
      <c r="E89" s="4">
        <f t="shared" si="4"/>
        <v>6208.66</v>
      </c>
      <c r="F89" t="str">
        <f>IF(E89&gt;=B8,"Sim","Não")</f>
        <v>Não</v>
      </c>
    </row>
    <row r="90" spans="1:6" x14ac:dyDescent="0.3">
      <c r="A90">
        <v>79</v>
      </c>
      <c r="B90" s="4">
        <f t="shared" si="5"/>
        <v>6208.66</v>
      </c>
      <c r="C90" s="4">
        <f>B4</f>
        <v>55</v>
      </c>
      <c r="D90" s="4">
        <f>B6</f>
        <v>22</v>
      </c>
      <c r="E90" s="4">
        <f t="shared" si="4"/>
        <v>6285.66</v>
      </c>
      <c r="F90" t="str">
        <f>IF(E90&gt;=B8,"Sim","Não")</f>
        <v>Não</v>
      </c>
    </row>
    <row r="91" spans="1:6" x14ac:dyDescent="0.3">
      <c r="A91">
        <v>80</v>
      </c>
      <c r="B91" s="4">
        <f t="shared" si="5"/>
        <v>6285.66</v>
      </c>
      <c r="C91" s="4">
        <f>B4</f>
        <v>55</v>
      </c>
      <c r="D91" s="4">
        <f>B6</f>
        <v>22</v>
      </c>
      <c r="E91" s="4">
        <f t="shared" si="4"/>
        <v>6362.66</v>
      </c>
      <c r="F91" t="str">
        <f>IF(E91&gt;=B8,"Sim","Não")</f>
        <v>Não</v>
      </c>
    </row>
    <row r="92" spans="1:6" x14ac:dyDescent="0.3">
      <c r="A92">
        <v>81</v>
      </c>
      <c r="B92" s="4">
        <f t="shared" si="5"/>
        <v>6362.66</v>
      </c>
      <c r="C92" s="4">
        <f>B4</f>
        <v>55</v>
      </c>
      <c r="D92" s="4">
        <f>B6</f>
        <v>22</v>
      </c>
      <c r="E92" s="4">
        <f t="shared" si="4"/>
        <v>6439.66</v>
      </c>
      <c r="F92" t="str">
        <f>IF(E92&gt;=B8,"Sim","Não")</f>
        <v>Não</v>
      </c>
    </row>
    <row r="93" spans="1:6" x14ac:dyDescent="0.3">
      <c r="A93">
        <v>82</v>
      </c>
      <c r="B93" s="4">
        <f t="shared" si="5"/>
        <v>6439.66</v>
      </c>
      <c r="C93" s="4">
        <f>B4</f>
        <v>55</v>
      </c>
      <c r="D93" s="4">
        <f>B6</f>
        <v>22</v>
      </c>
      <c r="E93" s="4">
        <f t="shared" si="4"/>
        <v>6516.66</v>
      </c>
      <c r="F93" t="str">
        <f>IF(E93&gt;=B8,"Sim","Não")</f>
        <v>Não</v>
      </c>
    </row>
    <row r="94" spans="1:6" x14ac:dyDescent="0.3">
      <c r="A94">
        <v>83</v>
      </c>
      <c r="B94" s="4">
        <f t="shared" si="5"/>
        <v>6516.66</v>
      </c>
      <c r="C94" s="4">
        <f>B4</f>
        <v>55</v>
      </c>
      <c r="D94" s="4">
        <f>B6</f>
        <v>22</v>
      </c>
      <c r="E94" s="4">
        <f t="shared" si="4"/>
        <v>6593.66</v>
      </c>
      <c r="F94" t="str">
        <f>IF(E94&gt;=B8,"Sim","Não")</f>
        <v>Não</v>
      </c>
    </row>
    <row r="95" spans="1:6" x14ac:dyDescent="0.3">
      <c r="A95">
        <v>84</v>
      </c>
      <c r="B95" s="4">
        <f t="shared" si="5"/>
        <v>6593.66</v>
      </c>
      <c r="C95" s="4">
        <f>B4</f>
        <v>55</v>
      </c>
      <c r="D95" s="4">
        <f>B6</f>
        <v>22</v>
      </c>
      <c r="E95" s="4">
        <f t="shared" si="4"/>
        <v>6670.66</v>
      </c>
      <c r="F95" t="str">
        <f>IF(E95&gt;=B8,"Sim","Não")</f>
        <v>Não</v>
      </c>
    </row>
    <row r="96" spans="1:6" x14ac:dyDescent="0.3">
      <c r="A96">
        <v>85</v>
      </c>
      <c r="B96" s="4">
        <f t="shared" si="5"/>
        <v>6670.66</v>
      </c>
      <c r="C96" s="4">
        <f>B4</f>
        <v>55</v>
      </c>
      <c r="D96" s="4">
        <f>B6</f>
        <v>22</v>
      </c>
      <c r="E96" s="4">
        <f t="shared" si="4"/>
        <v>6747.66</v>
      </c>
      <c r="F96" t="str">
        <f>IF(E96&gt;=B8,"Sim","Não")</f>
        <v>Não</v>
      </c>
    </row>
    <row r="97" spans="1:6" x14ac:dyDescent="0.3">
      <c r="A97">
        <v>86</v>
      </c>
      <c r="B97" s="4">
        <f t="shared" si="5"/>
        <v>6747.66</v>
      </c>
      <c r="C97" s="4">
        <f>B4</f>
        <v>55</v>
      </c>
      <c r="D97" s="4">
        <f>B6</f>
        <v>22</v>
      </c>
      <c r="E97" s="4">
        <f t="shared" si="4"/>
        <v>6824.66</v>
      </c>
      <c r="F97" t="str">
        <f>IF(E97&gt;=B8,"Sim","Não")</f>
        <v>Não</v>
      </c>
    </row>
    <row r="98" spans="1:6" x14ac:dyDescent="0.3">
      <c r="A98">
        <v>87</v>
      </c>
      <c r="B98" s="4">
        <f t="shared" si="5"/>
        <v>6824.66</v>
      </c>
      <c r="C98" s="4">
        <f>B4</f>
        <v>55</v>
      </c>
      <c r="D98" s="4">
        <f>B6</f>
        <v>22</v>
      </c>
      <c r="E98" s="4">
        <f t="shared" si="4"/>
        <v>6901.66</v>
      </c>
      <c r="F98" t="str">
        <f>IF(E98&gt;=B8,"Sim","Não")</f>
        <v>Não</v>
      </c>
    </row>
    <row r="99" spans="1:6" x14ac:dyDescent="0.3">
      <c r="A99">
        <v>88</v>
      </c>
      <c r="B99" s="4">
        <f t="shared" si="5"/>
        <v>6901.66</v>
      </c>
      <c r="C99" s="4">
        <f>B4</f>
        <v>55</v>
      </c>
      <c r="D99" s="4">
        <f>B6</f>
        <v>22</v>
      </c>
      <c r="E99" s="4">
        <f t="shared" si="4"/>
        <v>6978.66</v>
      </c>
      <c r="F99" t="str">
        <f>IF(E99&gt;=B8,"Sim","Não")</f>
        <v>Não</v>
      </c>
    </row>
    <row r="100" spans="1:6" x14ac:dyDescent="0.3">
      <c r="A100">
        <v>89</v>
      </c>
      <c r="B100" s="4">
        <f t="shared" si="5"/>
        <v>6978.66</v>
      </c>
      <c r="C100" s="4">
        <f>B4</f>
        <v>55</v>
      </c>
      <c r="D100" s="4">
        <f>B6</f>
        <v>22</v>
      </c>
      <c r="E100" s="4">
        <f t="shared" si="4"/>
        <v>7055.66</v>
      </c>
      <c r="F100" t="str">
        <f>IF(E100&gt;=B8,"Sim","Não")</f>
        <v>Não</v>
      </c>
    </row>
    <row r="101" spans="1:6" x14ac:dyDescent="0.3">
      <c r="A101">
        <v>90</v>
      </c>
      <c r="B101" s="4">
        <f t="shared" si="5"/>
        <v>7055.66</v>
      </c>
      <c r="C101" s="4">
        <f>B4</f>
        <v>55</v>
      </c>
      <c r="D101" s="4">
        <f>B6</f>
        <v>22</v>
      </c>
      <c r="E101" s="4">
        <f t="shared" si="4"/>
        <v>7132.66</v>
      </c>
      <c r="F101" t="str">
        <f>IF(E101&gt;=B8,"Sim","Não")</f>
        <v>Não</v>
      </c>
    </row>
    <row r="102" spans="1:6" x14ac:dyDescent="0.3">
      <c r="A102">
        <v>91</v>
      </c>
      <c r="B102" s="4">
        <f t="shared" si="5"/>
        <v>7132.66</v>
      </c>
      <c r="C102" s="4">
        <f>B4</f>
        <v>55</v>
      </c>
      <c r="D102" s="4">
        <f>B6</f>
        <v>22</v>
      </c>
      <c r="E102" s="4">
        <f t="shared" si="4"/>
        <v>7209.66</v>
      </c>
      <c r="F102" t="str">
        <f>IF(E102&gt;=B8,"Sim","Não")</f>
        <v>Não</v>
      </c>
    </row>
    <row r="103" spans="1:6" x14ac:dyDescent="0.3">
      <c r="A103">
        <v>92</v>
      </c>
      <c r="B103" s="4">
        <f t="shared" si="5"/>
        <v>7209.66</v>
      </c>
      <c r="C103" s="4">
        <f>B4</f>
        <v>55</v>
      </c>
      <c r="D103" s="4">
        <f>B6</f>
        <v>22</v>
      </c>
      <c r="E103" s="4">
        <f t="shared" si="4"/>
        <v>7286.66</v>
      </c>
      <c r="F103" t="str">
        <f>IF(E103&gt;=B8,"Sim","Não")</f>
        <v>Não</v>
      </c>
    </row>
    <row r="104" spans="1:6" x14ac:dyDescent="0.3">
      <c r="A104">
        <v>93</v>
      </c>
      <c r="B104" s="4">
        <f t="shared" si="5"/>
        <v>7286.66</v>
      </c>
      <c r="C104" s="4">
        <f>B4</f>
        <v>55</v>
      </c>
      <c r="D104" s="4">
        <f>B6</f>
        <v>22</v>
      </c>
      <c r="E104" s="4">
        <f t="shared" si="4"/>
        <v>7363.66</v>
      </c>
      <c r="F104" t="str">
        <f>IF(E104&gt;=B8,"Sim","Não")</f>
        <v>Não</v>
      </c>
    </row>
    <row r="105" spans="1:6" x14ac:dyDescent="0.3">
      <c r="A105">
        <v>94</v>
      </c>
      <c r="B105" s="4">
        <f t="shared" si="5"/>
        <v>7363.66</v>
      </c>
      <c r="C105" s="4">
        <f>B4</f>
        <v>55</v>
      </c>
      <c r="D105" s="4">
        <f>B6</f>
        <v>22</v>
      </c>
      <c r="E105" s="4">
        <f t="shared" si="4"/>
        <v>7440.66</v>
      </c>
      <c r="F105" t="str">
        <f>IF(E105&gt;=B8,"Sim","Não")</f>
        <v>Não</v>
      </c>
    </row>
    <row r="106" spans="1:6" x14ac:dyDescent="0.3">
      <c r="A106">
        <v>95</v>
      </c>
      <c r="B106" s="4">
        <f t="shared" si="5"/>
        <v>7440.66</v>
      </c>
      <c r="C106" s="4">
        <f>B4</f>
        <v>55</v>
      </c>
      <c r="D106" s="4">
        <f>B6</f>
        <v>22</v>
      </c>
      <c r="E106" s="4">
        <f t="shared" si="4"/>
        <v>7517.66</v>
      </c>
      <c r="F106" t="str">
        <f>IF(E106&gt;=B8,"Sim","Não")</f>
        <v>Não</v>
      </c>
    </row>
    <row r="107" spans="1:6" x14ac:dyDescent="0.3">
      <c r="A107">
        <v>96</v>
      </c>
      <c r="B107" s="4">
        <f t="shared" si="5"/>
        <v>7517.66</v>
      </c>
      <c r="C107" s="4">
        <f>B4</f>
        <v>55</v>
      </c>
      <c r="D107" s="4">
        <f>B6</f>
        <v>22</v>
      </c>
      <c r="E107" s="4">
        <f t="shared" si="4"/>
        <v>7594.66</v>
      </c>
      <c r="F107" t="str">
        <f>IF(E107&gt;=B8,"Sim","Não")</f>
        <v>Não</v>
      </c>
    </row>
    <row r="108" spans="1:6" x14ac:dyDescent="0.3">
      <c r="A108">
        <v>97</v>
      </c>
      <c r="B108" s="4">
        <f t="shared" si="5"/>
        <v>7594.66</v>
      </c>
      <c r="C108" s="4">
        <f>B4</f>
        <v>55</v>
      </c>
      <c r="D108" s="4">
        <f>B6</f>
        <v>22</v>
      </c>
      <c r="E108" s="4">
        <f t="shared" ref="E108:E131" si="6">B108+C108+D108</f>
        <v>7671.66</v>
      </c>
      <c r="F108" t="str">
        <f>IF(E108&gt;=B8,"Sim","Não")</f>
        <v>Não</v>
      </c>
    </row>
    <row r="109" spans="1:6" x14ac:dyDescent="0.3">
      <c r="A109">
        <v>98</v>
      </c>
      <c r="B109" s="4">
        <f t="shared" ref="B109:B131" si="7">E108</f>
        <v>7671.66</v>
      </c>
      <c r="C109" s="4">
        <f>B4</f>
        <v>55</v>
      </c>
      <c r="D109" s="4">
        <f>B6</f>
        <v>22</v>
      </c>
      <c r="E109" s="4">
        <f t="shared" si="6"/>
        <v>7748.66</v>
      </c>
      <c r="F109" t="str">
        <f>IF(E109&gt;=B8,"Sim","Não")</f>
        <v>Não</v>
      </c>
    </row>
    <row r="110" spans="1:6" x14ac:dyDescent="0.3">
      <c r="A110">
        <v>99</v>
      </c>
      <c r="B110" s="4">
        <f t="shared" si="7"/>
        <v>7748.66</v>
      </c>
      <c r="C110" s="4">
        <f>B4</f>
        <v>55</v>
      </c>
      <c r="D110" s="4">
        <f>B6</f>
        <v>22</v>
      </c>
      <c r="E110" s="4">
        <f t="shared" si="6"/>
        <v>7825.66</v>
      </c>
      <c r="F110" t="str">
        <f>IF(E110&gt;=B8,"Sim","Não")</f>
        <v>Não</v>
      </c>
    </row>
    <row r="111" spans="1:6" x14ac:dyDescent="0.3">
      <c r="A111">
        <v>100</v>
      </c>
      <c r="B111" s="4">
        <f t="shared" si="7"/>
        <v>7825.66</v>
      </c>
      <c r="C111" s="4">
        <f>B4</f>
        <v>55</v>
      </c>
      <c r="D111" s="4">
        <f>B6</f>
        <v>22</v>
      </c>
      <c r="E111" s="4">
        <f t="shared" si="6"/>
        <v>7902.66</v>
      </c>
      <c r="F111" t="str">
        <f>IF(E111&gt;=B8,"Sim","Não")</f>
        <v>Não</v>
      </c>
    </row>
    <row r="112" spans="1:6" x14ac:dyDescent="0.3">
      <c r="A112">
        <v>101</v>
      </c>
      <c r="B112" s="4">
        <f t="shared" si="7"/>
        <v>7902.66</v>
      </c>
      <c r="C112" s="4">
        <f>B4</f>
        <v>55</v>
      </c>
      <c r="D112" s="4">
        <f>B6</f>
        <v>22</v>
      </c>
      <c r="E112" s="4">
        <f t="shared" si="6"/>
        <v>7979.66</v>
      </c>
      <c r="F112" t="str">
        <f>IF(E112&gt;=B8,"Sim","Não")</f>
        <v>Não</v>
      </c>
    </row>
    <row r="113" spans="1:6" x14ac:dyDescent="0.3">
      <c r="A113">
        <v>102</v>
      </c>
      <c r="B113" s="4">
        <f t="shared" si="7"/>
        <v>7979.66</v>
      </c>
      <c r="C113" s="4">
        <f>B4</f>
        <v>55</v>
      </c>
      <c r="D113" s="4">
        <f>B6</f>
        <v>22</v>
      </c>
      <c r="E113" s="4">
        <f t="shared" si="6"/>
        <v>8056.66</v>
      </c>
      <c r="F113" t="str">
        <f>IF(E113&gt;=B8,"Sim","Não")</f>
        <v>Não</v>
      </c>
    </row>
    <row r="114" spans="1:6" x14ac:dyDescent="0.3">
      <c r="A114">
        <v>103</v>
      </c>
      <c r="B114" s="4">
        <f t="shared" si="7"/>
        <v>8056.66</v>
      </c>
      <c r="C114" s="4">
        <f>B4</f>
        <v>55</v>
      </c>
      <c r="D114" s="4">
        <f>B6</f>
        <v>22</v>
      </c>
      <c r="E114" s="4">
        <f t="shared" si="6"/>
        <v>8133.66</v>
      </c>
      <c r="F114" t="str">
        <f>IF(E114&gt;=B8,"Sim","Não")</f>
        <v>Não</v>
      </c>
    </row>
    <row r="115" spans="1:6" x14ac:dyDescent="0.3">
      <c r="A115">
        <v>104</v>
      </c>
      <c r="B115" s="4">
        <f t="shared" si="7"/>
        <v>8133.66</v>
      </c>
      <c r="C115" s="4">
        <f>B4</f>
        <v>55</v>
      </c>
      <c r="D115" s="4">
        <f>B6</f>
        <v>22</v>
      </c>
      <c r="E115" s="4">
        <f t="shared" si="6"/>
        <v>8210.66</v>
      </c>
      <c r="F115" t="str">
        <f>IF(E115&gt;=B8,"Sim","Não")</f>
        <v>Não</v>
      </c>
    </row>
    <row r="116" spans="1:6" x14ac:dyDescent="0.3">
      <c r="A116">
        <v>105</v>
      </c>
      <c r="B116" s="4">
        <f t="shared" si="7"/>
        <v>8210.66</v>
      </c>
      <c r="C116" s="4">
        <f>B4</f>
        <v>55</v>
      </c>
      <c r="D116" s="4">
        <f>B6</f>
        <v>22</v>
      </c>
      <c r="E116" s="4">
        <f t="shared" si="6"/>
        <v>8287.66</v>
      </c>
      <c r="F116" t="str">
        <f>IF(E116&gt;=B8,"Sim","Não")</f>
        <v>Não</v>
      </c>
    </row>
    <row r="117" spans="1:6" x14ac:dyDescent="0.3">
      <c r="A117">
        <v>106</v>
      </c>
      <c r="B117" s="4">
        <f t="shared" si="7"/>
        <v>8287.66</v>
      </c>
      <c r="C117" s="4">
        <f>B4</f>
        <v>55</v>
      </c>
      <c r="D117" s="4">
        <f>B6</f>
        <v>22</v>
      </c>
      <c r="E117" s="4">
        <f t="shared" si="6"/>
        <v>8364.66</v>
      </c>
      <c r="F117" t="str">
        <f>IF(E117&gt;=B8,"Sim","Não")</f>
        <v>Não</v>
      </c>
    </row>
    <row r="118" spans="1:6" x14ac:dyDescent="0.3">
      <c r="A118">
        <v>107</v>
      </c>
      <c r="B118" s="4">
        <f t="shared" si="7"/>
        <v>8364.66</v>
      </c>
      <c r="C118" s="4">
        <f>B4</f>
        <v>55</v>
      </c>
      <c r="D118" s="4">
        <f>B6</f>
        <v>22</v>
      </c>
      <c r="E118" s="4">
        <f t="shared" si="6"/>
        <v>8441.66</v>
      </c>
      <c r="F118" t="str">
        <f>IF(E118&gt;=B8,"Sim","Não")</f>
        <v>Não</v>
      </c>
    </row>
    <row r="119" spans="1:6" x14ac:dyDescent="0.3">
      <c r="A119">
        <v>108</v>
      </c>
      <c r="B119" s="4">
        <f t="shared" si="7"/>
        <v>8441.66</v>
      </c>
      <c r="C119" s="4">
        <f>B4</f>
        <v>55</v>
      </c>
      <c r="D119" s="4">
        <f>B6</f>
        <v>22</v>
      </c>
      <c r="E119" s="4">
        <f t="shared" si="6"/>
        <v>8518.66</v>
      </c>
      <c r="F119" t="str">
        <f>IF(E119&gt;=B8,"Sim","Não")</f>
        <v>Não</v>
      </c>
    </row>
    <row r="120" spans="1:6" x14ac:dyDescent="0.3">
      <c r="A120">
        <v>109</v>
      </c>
      <c r="B120" s="4">
        <f t="shared" si="7"/>
        <v>8518.66</v>
      </c>
      <c r="C120" s="4">
        <f>B4</f>
        <v>55</v>
      </c>
      <c r="D120" s="4">
        <f>B6</f>
        <v>22</v>
      </c>
      <c r="E120" s="4">
        <f t="shared" si="6"/>
        <v>8595.66</v>
      </c>
      <c r="F120" t="str">
        <f>IF(E120&gt;=B8,"Sim","Não")</f>
        <v>Não</v>
      </c>
    </row>
    <row r="121" spans="1:6" x14ac:dyDescent="0.3">
      <c r="A121">
        <v>110</v>
      </c>
      <c r="B121" s="4">
        <f t="shared" si="7"/>
        <v>8595.66</v>
      </c>
      <c r="C121" s="4">
        <f>B4</f>
        <v>55</v>
      </c>
      <c r="D121" s="4">
        <f>B6</f>
        <v>22</v>
      </c>
      <c r="E121" s="4">
        <f t="shared" si="6"/>
        <v>8672.66</v>
      </c>
      <c r="F121" t="str">
        <f>IF(E121&gt;=B8,"Sim","Não")</f>
        <v>Não</v>
      </c>
    </row>
    <row r="122" spans="1:6" x14ac:dyDescent="0.3">
      <c r="A122">
        <v>111</v>
      </c>
      <c r="B122" s="4">
        <f t="shared" si="7"/>
        <v>8672.66</v>
      </c>
      <c r="C122" s="4">
        <f>B4</f>
        <v>55</v>
      </c>
      <c r="D122" s="4">
        <f>B6</f>
        <v>22</v>
      </c>
      <c r="E122" s="4">
        <f t="shared" si="6"/>
        <v>8749.66</v>
      </c>
      <c r="F122" t="str">
        <f>IF(E122&gt;=B8,"Sim","Não")</f>
        <v>Não</v>
      </c>
    </row>
    <row r="123" spans="1:6" x14ac:dyDescent="0.3">
      <c r="A123">
        <v>112</v>
      </c>
      <c r="B123" s="4">
        <f t="shared" si="7"/>
        <v>8749.66</v>
      </c>
      <c r="C123" s="4">
        <f>B4</f>
        <v>55</v>
      </c>
      <c r="D123" s="4">
        <f>B6</f>
        <v>22</v>
      </c>
      <c r="E123" s="4">
        <f t="shared" si="6"/>
        <v>8826.66</v>
      </c>
      <c r="F123" t="str">
        <f>IF(E123&gt;=B8,"Sim","Não")</f>
        <v>Não</v>
      </c>
    </row>
    <row r="124" spans="1:6" x14ac:dyDescent="0.3">
      <c r="A124">
        <v>113</v>
      </c>
      <c r="B124" s="4">
        <f t="shared" si="7"/>
        <v>8826.66</v>
      </c>
      <c r="C124" s="4">
        <f>B4</f>
        <v>55</v>
      </c>
      <c r="D124" s="4">
        <f>B6</f>
        <v>22</v>
      </c>
      <c r="E124" s="4">
        <f t="shared" si="6"/>
        <v>8903.66</v>
      </c>
      <c r="F124" t="str">
        <f>IF(E124&gt;=B8,"Sim","Não")</f>
        <v>Não</v>
      </c>
    </row>
    <row r="125" spans="1:6" x14ac:dyDescent="0.3">
      <c r="A125">
        <v>114</v>
      </c>
      <c r="B125" s="4">
        <f t="shared" si="7"/>
        <v>8903.66</v>
      </c>
      <c r="C125" s="4">
        <f>B4</f>
        <v>55</v>
      </c>
      <c r="D125" s="4">
        <f>B6</f>
        <v>22</v>
      </c>
      <c r="E125" s="4">
        <f t="shared" si="6"/>
        <v>8980.66</v>
      </c>
      <c r="F125" t="str">
        <f>IF(E125&gt;=B8,"Sim","Não")</f>
        <v>Não</v>
      </c>
    </row>
    <row r="126" spans="1:6" x14ac:dyDescent="0.3">
      <c r="A126">
        <v>115</v>
      </c>
      <c r="B126" s="4">
        <f t="shared" si="7"/>
        <v>8980.66</v>
      </c>
      <c r="C126" s="4">
        <f>B4</f>
        <v>55</v>
      </c>
      <c r="D126" s="4">
        <f>B6</f>
        <v>22</v>
      </c>
      <c r="E126" s="4">
        <f t="shared" si="6"/>
        <v>9057.66</v>
      </c>
      <c r="F126" t="str">
        <f>IF(E126&gt;=B8,"Sim","Não")</f>
        <v>Não</v>
      </c>
    </row>
    <row r="127" spans="1:6" x14ac:dyDescent="0.3">
      <c r="A127">
        <v>116</v>
      </c>
      <c r="B127" s="4">
        <f t="shared" si="7"/>
        <v>9057.66</v>
      </c>
      <c r="C127" s="4">
        <f>B4</f>
        <v>55</v>
      </c>
      <c r="D127" s="4">
        <f>B6</f>
        <v>22</v>
      </c>
      <c r="E127" s="4">
        <f t="shared" si="6"/>
        <v>9134.66</v>
      </c>
      <c r="F127" t="str">
        <f>IF(E127&gt;=B8,"Sim","Não")</f>
        <v>Não</v>
      </c>
    </row>
    <row r="128" spans="1:6" x14ac:dyDescent="0.3">
      <c r="A128">
        <v>117</v>
      </c>
      <c r="B128" s="4">
        <f t="shared" si="7"/>
        <v>9134.66</v>
      </c>
      <c r="C128" s="4">
        <f>B4</f>
        <v>55</v>
      </c>
      <c r="D128" s="4">
        <f>B6</f>
        <v>22</v>
      </c>
      <c r="E128" s="4">
        <f t="shared" si="6"/>
        <v>9211.66</v>
      </c>
      <c r="F128" t="str">
        <f>IF(E128&gt;=B8,"Sim","Não")</f>
        <v>Não</v>
      </c>
    </row>
    <row r="129" spans="1:6" x14ac:dyDescent="0.3">
      <c r="A129">
        <v>118</v>
      </c>
      <c r="B129" s="4">
        <f t="shared" si="7"/>
        <v>9211.66</v>
      </c>
      <c r="C129" s="4">
        <f>B4</f>
        <v>55</v>
      </c>
      <c r="D129" s="4">
        <f>B6</f>
        <v>22</v>
      </c>
      <c r="E129" s="4">
        <f t="shared" si="6"/>
        <v>9288.66</v>
      </c>
      <c r="F129" t="str">
        <f>IF(E129&gt;=B8,"Sim","Não")</f>
        <v>Não</v>
      </c>
    </row>
    <row r="130" spans="1:6" x14ac:dyDescent="0.3">
      <c r="A130">
        <v>119</v>
      </c>
      <c r="B130" s="4">
        <f t="shared" si="7"/>
        <v>9288.66</v>
      </c>
      <c r="C130" s="4">
        <f>B4</f>
        <v>55</v>
      </c>
      <c r="D130" s="4">
        <f>B6</f>
        <v>22</v>
      </c>
      <c r="E130" s="4">
        <f t="shared" si="6"/>
        <v>9365.66</v>
      </c>
      <c r="F130" t="str">
        <f>IF(E130&gt;=B8,"Sim","Não")</f>
        <v>Não</v>
      </c>
    </row>
    <row r="131" spans="1:6" x14ac:dyDescent="0.3">
      <c r="A131">
        <v>120</v>
      </c>
      <c r="B131" s="4">
        <f t="shared" si="7"/>
        <v>9365.66</v>
      </c>
      <c r="C131" s="4">
        <f>B4</f>
        <v>55</v>
      </c>
      <c r="D131" s="4">
        <f>B6</f>
        <v>22</v>
      </c>
      <c r="E131" s="4">
        <f t="shared" si="6"/>
        <v>9442.66</v>
      </c>
      <c r="F131" t="str">
        <f>IF(E131&gt;=B8,"Sim","Não")</f>
        <v>Não</v>
      </c>
    </row>
  </sheetData>
  <mergeCells count="1">
    <mergeCell ref="A1:H1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showGridLines="0" workbookViewId="0">
      <selection activeCell="B13" sqref="B13"/>
    </sheetView>
  </sheetViews>
  <sheetFormatPr defaultRowHeight="14.4" x14ac:dyDescent="0.3"/>
  <cols>
    <col min="1" max="1" width="32" customWidth="1"/>
    <col min="2" max="2" width="18" customWidth="1"/>
    <col min="4" max="4" width="48" customWidth="1"/>
  </cols>
  <sheetData>
    <row r="1" spans="1:6" ht="18" customHeight="1" x14ac:dyDescent="0.35">
      <c r="A1" s="72" t="s">
        <v>433</v>
      </c>
      <c r="B1" s="64"/>
      <c r="C1" s="64"/>
      <c r="D1" s="64"/>
      <c r="E1" s="64"/>
      <c r="F1" s="64"/>
    </row>
    <row r="3" spans="1:6" x14ac:dyDescent="0.3">
      <c r="A3" s="1" t="s">
        <v>96</v>
      </c>
      <c r="B3" s="21">
        <f>Config!B18</f>
        <v>202.66</v>
      </c>
      <c r="D3" s="6" t="s">
        <v>434</v>
      </c>
    </row>
    <row r="4" spans="1:6" x14ac:dyDescent="0.3">
      <c r="A4" s="1" t="s">
        <v>103</v>
      </c>
      <c r="B4" s="21">
        <f>ABS(Config!B9)</f>
        <v>23.81</v>
      </c>
      <c r="D4" t="s">
        <v>435</v>
      </c>
    </row>
    <row r="5" spans="1:6" x14ac:dyDescent="0.3">
      <c r="A5" s="1" t="s">
        <v>436</v>
      </c>
      <c r="B5" s="11">
        <f>IF(B3&gt;0,B4/B3,"")</f>
        <v>0.1174874173492549</v>
      </c>
      <c r="D5" t="s">
        <v>437</v>
      </c>
    </row>
    <row r="6" spans="1:6" x14ac:dyDescent="0.3">
      <c r="A6" s="1" t="s">
        <v>438</v>
      </c>
      <c r="B6" s="21">
        <v>350</v>
      </c>
      <c r="D6" t="s">
        <v>439</v>
      </c>
    </row>
    <row r="7" spans="1:6" x14ac:dyDescent="0.3">
      <c r="A7" s="1" t="s">
        <v>440</v>
      </c>
      <c r="B7" s="21">
        <v>700</v>
      </c>
      <c r="D7" t="s">
        <v>441</v>
      </c>
    </row>
    <row r="8" spans="1:6" x14ac:dyDescent="0.3">
      <c r="A8" s="1" t="s">
        <v>442</v>
      </c>
      <c r="B8" s="2">
        <v>1200</v>
      </c>
    </row>
    <row r="9" spans="1:6" x14ac:dyDescent="0.3">
      <c r="A9" s="1" t="s">
        <v>443</v>
      </c>
      <c r="B9" s="2" t="str">
        <f>IF(SUM('Registo Diário'!C2:C101)&gt;0,"Sim","Não")</f>
        <v>Não</v>
      </c>
    </row>
    <row r="10" spans="1:6" x14ac:dyDescent="0.3">
      <c r="A10" s="1" t="s">
        <v>444</v>
      </c>
      <c r="B10" s="2" t="str">
        <f>IF(AND(B3&gt;=B5,B8="Sim",B4/B3&lt;=0.15),"Sim","Não")</f>
        <v>Não</v>
      </c>
    </row>
    <row r="11" spans="1:6" x14ac:dyDescent="0.3">
      <c r="A11" s="1" t="s">
        <v>445</v>
      </c>
      <c r="B11" s="2" t="str">
        <f>IF(AND(B3&gt;=B6,B8="Sim",B4/B3&lt;=0.12),"Sim","Não")</f>
        <v>Não</v>
      </c>
    </row>
    <row r="12" spans="1:6" x14ac:dyDescent="0.3">
      <c r="A12" s="1" t="s">
        <v>446</v>
      </c>
      <c r="B12" s="2" t="str">
        <f>IF(AND(B3&gt;=B7,B8="Sim",B4/B3&lt;=0.1),"Sim","Não")</f>
        <v>Não</v>
      </c>
    </row>
    <row r="13" spans="1:6" x14ac:dyDescent="0.3">
      <c r="A13" s="1" t="s">
        <v>447</v>
      </c>
      <c r="B13" s="22" t="str">
        <f>IF(B9="Sim","Subir para 0.05",IF(B8="Sim","Subir para 0.03",IF(B7="Sim","Subir para 0.02","Manter lote atual")))</f>
        <v>Manter lote atual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2"/>
  <sheetViews>
    <sheetView showGridLines="0" workbookViewId="0">
      <selection sqref="A1:E1"/>
    </sheetView>
  </sheetViews>
  <sheetFormatPr defaultRowHeight="14.4" x14ac:dyDescent="0.3"/>
  <cols>
    <col min="1" max="1" width="32" customWidth="1"/>
    <col min="2" max="2" width="20" customWidth="1"/>
    <col min="3" max="3" width="48" customWidth="1"/>
  </cols>
  <sheetData>
    <row r="1" spans="1:5" ht="18" customHeight="1" x14ac:dyDescent="0.35">
      <c r="A1" s="72" t="s">
        <v>448</v>
      </c>
      <c r="B1" s="64"/>
      <c r="C1" s="64"/>
      <c r="D1" s="64"/>
      <c r="E1" s="64"/>
    </row>
    <row r="3" spans="1:5" x14ac:dyDescent="0.3">
      <c r="A3" s="3" t="s">
        <v>11</v>
      </c>
      <c r="B3" s="3" t="s">
        <v>12</v>
      </c>
      <c r="C3" s="3" t="s">
        <v>449</v>
      </c>
    </row>
    <row r="4" spans="1:5" x14ac:dyDescent="0.3">
      <c r="A4" s="1" t="s">
        <v>450</v>
      </c>
      <c r="B4" s="2">
        <f>MAX('Registo Diário'!H2:H8)</f>
        <v>0</v>
      </c>
      <c r="C4" t="s">
        <v>451</v>
      </c>
    </row>
    <row r="5" spans="1:5" x14ac:dyDescent="0.3">
      <c r="A5" s="1" t="s">
        <v>452</v>
      </c>
      <c r="B5" s="2">
        <f>MAX('Registo Diário'!H2:H101)</f>
        <v>1.1799999999999784</v>
      </c>
      <c r="C5" t="s">
        <v>453</v>
      </c>
    </row>
    <row r="6" spans="1:5" x14ac:dyDescent="0.3">
      <c r="A6" s="1" t="s">
        <v>454</v>
      </c>
      <c r="B6" s="2">
        <f>MAX('Registo Diário'!H2:H500)</f>
        <v>1.1799999999999784</v>
      </c>
      <c r="C6" t="s">
        <v>455</v>
      </c>
    </row>
    <row r="7" spans="1:5" x14ac:dyDescent="0.3">
      <c r="A7" s="1" t="s">
        <v>96</v>
      </c>
      <c r="B7" s="2">
        <f>Config!B18</f>
        <v>202.66</v>
      </c>
      <c r="C7" t="s">
        <v>456</v>
      </c>
    </row>
    <row r="8" spans="1:5" x14ac:dyDescent="0.3">
      <c r="A8" s="1" t="s">
        <v>457</v>
      </c>
      <c r="B8" s="2">
        <f>IF(B6&gt;0,B5/B6,0)</f>
        <v>1</v>
      </c>
      <c r="C8" t="s">
        <v>458</v>
      </c>
    </row>
    <row r="10" spans="1:5" x14ac:dyDescent="0.3">
      <c r="A10" s="6" t="s">
        <v>459</v>
      </c>
    </row>
    <row r="11" spans="1:5" x14ac:dyDescent="0.3">
      <c r="A11" s="1" t="s">
        <v>13</v>
      </c>
      <c r="B11" s="7" t="str">
        <f>IF(B7&lt;=0.15,"🟢 Normal",IF(B7&lt;=0.2,"🟡 Atenção","🔴 Stress Elevado"))</f>
        <v>🔴 Stress Elevado</v>
      </c>
    </row>
    <row r="12" spans="1:5" x14ac:dyDescent="0.3">
      <c r="A12" t="s">
        <v>460</v>
      </c>
      <c r="B12" t="s">
        <v>461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2"/>
  <sheetViews>
    <sheetView showGridLines="0" workbookViewId="0">
      <selection activeCell="E14" sqref="E14"/>
    </sheetView>
  </sheetViews>
  <sheetFormatPr defaultRowHeight="14.4" x14ac:dyDescent="0.3"/>
  <cols>
    <col min="1" max="1" width="24" customWidth="1"/>
    <col min="2" max="4" width="18" customWidth="1"/>
    <col min="5" max="5" width="34" customWidth="1"/>
    <col min="6" max="6" width="18" customWidth="1"/>
    <col min="7" max="8" width="16" customWidth="1"/>
  </cols>
  <sheetData>
    <row r="1" spans="1:8" ht="18" customHeight="1" x14ac:dyDescent="0.35">
      <c r="A1" s="72" t="s">
        <v>462</v>
      </c>
      <c r="B1" s="64"/>
      <c r="C1" s="64"/>
      <c r="D1" s="64"/>
      <c r="E1" s="64"/>
      <c r="F1" s="64"/>
      <c r="G1" s="64"/>
      <c r="H1" s="64"/>
    </row>
    <row r="3" spans="1:8" x14ac:dyDescent="0.3">
      <c r="A3" s="1" t="s">
        <v>96</v>
      </c>
      <c r="B3" s="21">
        <f>Config!B18</f>
        <v>202.66</v>
      </c>
      <c r="D3" s="6" t="s">
        <v>463</v>
      </c>
    </row>
    <row r="4" spans="1:8" x14ac:dyDescent="0.3">
      <c r="A4" s="1" t="s">
        <v>353</v>
      </c>
      <c r="B4" s="2">
        <f>Config!B5</f>
        <v>1.5</v>
      </c>
      <c r="D4" s="3" t="s">
        <v>464</v>
      </c>
      <c r="E4" s="3" t="s">
        <v>250</v>
      </c>
      <c r="F4" s="3" t="s">
        <v>465</v>
      </c>
      <c r="G4" s="3" t="s">
        <v>466</v>
      </c>
      <c r="H4" s="3" t="s">
        <v>351</v>
      </c>
    </row>
    <row r="5" spans="1:8" x14ac:dyDescent="0.3">
      <c r="A5" s="1" t="s">
        <v>354</v>
      </c>
      <c r="B5" s="2">
        <f>Config!B15</f>
        <v>22</v>
      </c>
      <c r="D5" t="s">
        <v>467</v>
      </c>
      <c r="E5" t="s">
        <v>468</v>
      </c>
      <c r="F5" t="s">
        <v>469</v>
      </c>
      <c r="G5" t="s">
        <v>470</v>
      </c>
      <c r="H5" t="s">
        <v>471</v>
      </c>
    </row>
    <row r="6" spans="1:8" x14ac:dyDescent="0.3">
      <c r="A6" s="1" t="s">
        <v>472</v>
      </c>
      <c r="B6" s="21">
        <f>B4*B5</f>
        <v>33</v>
      </c>
      <c r="D6" t="s">
        <v>473</v>
      </c>
      <c r="E6" t="s">
        <v>474</v>
      </c>
      <c r="F6" t="s">
        <v>475</v>
      </c>
      <c r="G6" t="s">
        <v>476</v>
      </c>
      <c r="H6" t="s">
        <v>477</v>
      </c>
    </row>
    <row r="7" spans="1:8" x14ac:dyDescent="0.3">
      <c r="A7" s="1" t="s">
        <v>478</v>
      </c>
      <c r="B7" s="7">
        <v>50</v>
      </c>
      <c r="D7" t="s">
        <v>479</v>
      </c>
      <c r="E7" t="s">
        <v>480</v>
      </c>
      <c r="F7" t="s">
        <v>481</v>
      </c>
      <c r="G7" t="s">
        <v>482</v>
      </c>
      <c r="H7" t="s">
        <v>483</v>
      </c>
    </row>
    <row r="8" spans="1:8" x14ac:dyDescent="0.3">
      <c r="D8" t="s">
        <v>484</v>
      </c>
      <c r="E8" t="s">
        <v>485</v>
      </c>
      <c r="F8" t="s">
        <v>486</v>
      </c>
      <c r="G8" t="s">
        <v>487</v>
      </c>
      <c r="H8" t="s">
        <v>488</v>
      </c>
    </row>
    <row r="10" spans="1:8" x14ac:dyDescent="0.3">
      <c r="A10" s="6" t="s">
        <v>447</v>
      </c>
    </row>
    <row r="11" spans="1:8" x14ac:dyDescent="0.3">
      <c r="A11" t="s">
        <v>229</v>
      </c>
      <c r="B11" t="str">
        <f>IF(B3&lt;2000,"Acumulação",IF(B3&lt;5000,"Rendimento inicial",IF(B3&lt;10000,"Rendimento parcial","Rendimento estruturado")))</f>
        <v>Acumulação</v>
      </c>
    </row>
    <row r="12" spans="1:8" x14ac:dyDescent="0.3">
      <c r="A12" t="s">
        <v>489</v>
      </c>
      <c r="B12" s="26">
        <f>IF(B3&lt;2000,0,IF(B3&lt;5000,0.2,IF(B3&lt;10000,0.3,0.5)))</f>
        <v>0</v>
      </c>
    </row>
    <row r="13" spans="1:8" x14ac:dyDescent="0.3">
      <c r="A13" t="s">
        <v>490</v>
      </c>
      <c r="B13" s="4">
        <f>B6*B12</f>
        <v>0</v>
      </c>
    </row>
    <row r="14" spans="1:8" x14ac:dyDescent="0.3">
      <c r="A14" t="s">
        <v>491</v>
      </c>
      <c r="B14" s="4">
        <f>B6-B13</f>
        <v>33</v>
      </c>
    </row>
    <row r="15" spans="1:8" x14ac:dyDescent="0.3">
      <c r="A15" t="s">
        <v>492</v>
      </c>
      <c r="B15" t="str">
        <f>"Só retirar após mês positivo e nunca tocar no capital principal"</f>
        <v>Só retirar após mês positivo e nunca tocar no capital principal</v>
      </c>
    </row>
    <row r="18" spans="1:5" x14ac:dyDescent="0.3">
      <c r="A18" s="6" t="s">
        <v>493</v>
      </c>
    </row>
    <row r="19" spans="1:5" x14ac:dyDescent="0.3">
      <c r="A19" s="3" t="s">
        <v>494</v>
      </c>
      <c r="B19" s="3" t="s">
        <v>495</v>
      </c>
      <c r="C19" s="3" t="s">
        <v>496</v>
      </c>
      <c r="D19" s="3" t="s">
        <v>497</v>
      </c>
      <c r="E19" s="3" t="s">
        <v>132</v>
      </c>
    </row>
    <row r="20" spans="1:5" x14ac:dyDescent="0.3">
      <c r="A20" s="4">
        <v>2000</v>
      </c>
      <c r="B20" s="4">
        <f>A20*0.05</f>
        <v>100</v>
      </c>
      <c r="C20" s="4">
        <f>A20*0.08</f>
        <v>160</v>
      </c>
      <c r="D20" s="4">
        <f>IF(A20&lt;5000,B20*0.2,IF(A20&lt;10000,C20*0.3,C20*0.5))</f>
        <v>20</v>
      </c>
      <c r="E20" t="s">
        <v>498</v>
      </c>
    </row>
    <row r="21" spans="1:5" x14ac:dyDescent="0.3">
      <c r="A21" s="4">
        <v>5000</v>
      </c>
      <c r="B21" s="4">
        <f>A21*0.05</f>
        <v>250</v>
      </c>
      <c r="C21" s="4">
        <f>A21*0.08</f>
        <v>400</v>
      </c>
      <c r="D21" s="4">
        <f>IF(A21&lt;5000,B21*0.2,IF(A21&lt;10000,C21*0.3,C21*0.5))</f>
        <v>120</v>
      </c>
      <c r="E21" t="s">
        <v>498</v>
      </c>
    </row>
    <row r="22" spans="1:5" x14ac:dyDescent="0.3">
      <c r="A22" s="4">
        <v>10000</v>
      </c>
      <c r="B22" s="4">
        <f>A22*0.05</f>
        <v>500</v>
      </c>
      <c r="C22" s="4">
        <f>A22*0.08</f>
        <v>800</v>
      </c>
      <c r="D22" s="4">
        <f>IF(A22&lt;5000,B22*0.2,IF(A22&lt;10000,C22*0.3,C22*0.5))</f>
        <v>400</v>
      </c>
      <c r="E22" t="s">
        <v>498</v>
      </c>
    </row>
  </sheetData>
  <mergeCells count="1">
    <mergeCell ref="A1:H1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"/>
  <sheetViews>
    <sheetView showGridLines="0" workbookViewId="0">
      <selection sqref="A1:H1"/>
    </sheetView>
  </sheetViews>
  <sheetFormatPr defaultRowHeight="14.4" x14ac:dyDescent="0.3"/>
  <cols>
    <col min="1" max="1" width="28" customWidth="1"/>
    <col min="2" max="2" width="18" customWidth="1"/>
    <col min="3" max="3" width="34" customWidth="1"/>
  </cols>
  <sheetData>
    <row r="1" spans="1:8" ht="18" customHeight="1" x14ac:dyDescent="0.35">
      <c r="A1" s="72" t="s">
        <v>499</v>
      </c>
      <c r="B1" s="64"/>
      <c r="C1" s="64"/>
      <c r="D1" s="64"/>
      <c r="E1" s="64"/>
      <c r="F1" s="64"/>
      <c r="G1" s="64"/>
      <c r="H1" s="64"/>
    </row>
    <row r="3" spans="1:8" x14ac:dyDescent="0.3">
      <c r="A3" s="3" t="s">
        <v>500</v>
      </c>
      <c r="B3" s="3" t="s">
        <v>12</v>
      </c>
      <c r="C3" s="3" t="s">
        <v>501</v>
      </c>
    </row>
    <row r="4" spans="1:8" x14ac:dyDescent="0.3">
      <c r="A4" s="1" t="s">
        <v>502</v>
      </c>
      <c r="B4" s="21">
        <f>MAX('Registo Diário'!H2:H101)</f>
        <v>1.1799999999999784</v>
      </c>
      <c r="C4" t="s">
        <v>503</v>
      </c>
    </row>
    <row r="5" spans="1:8" x14ac:dyDescent="0.3">
      <c r="A5" s="1" t="s">
        <v>504</v>
      </c>
      <c r="B5" s="21">
        <f>IFERROR(AVERAGEIF('Registo Diário'!H2:H101,"&gt;0"),0)</f>
        <v>0.63499999999999091</v>
      </c>
      <c r="C5" t="s">
        <v>505</v>
      </c>
    </row>
    <row r="6" spans="1:8" x14ac:dyDescent="0.3">
      <c r="A6" s="1" t="s">
        <v>506</v>
      </c>
      <c r="B6" s="21">
        <f>IFERROR(AVERAGEIF('Registo Diário'!C2:C101,"&lt;&gt;"),0)</f>
        <v>-0.55099999999999993</v>
      </c>
      <c r="C6" t="s">
        <v>507</v>
      </c>
    </row>
    <row r="7" spans="1:8" x14ac:dyDescent="0.3">
      <c r="A7" s="1" t="s">
        <v>508</v>
      </c>
      <c r="B7" s="21">
        <f>SUM('Registo Diário'!C2:C101)</f>
        <v>-5.5099999999999989</v>
      </c>
      <c r="C7" t="s">
        <v>509</v>
      </c>
    </row>
    <row r="8" spans="1:8" x14ac:dyDescent="0.3">
      <c r="A8" s="1" t="s">
        <v>510</v>
      </c>
      <c r="B8" s="2">
        <f>COUNTIF('Ciclos Negativos'!C4:C29,"&lt;0")</f>
        <v>1</v>
      </c>
      <c r="C8" t="s">
        <v>511</v>
      </c>
    </row>
    <row r="9" spans="1:8" x14ac:dyDescent="0.3">
      <c r="A9" s="1" t="s">
        <v>512</v>
      </c>
      <c r="B9" s="21">
        <f>IFERROR(B7/B5,0)</f>
        <v>-8.6771653543308318</v>
      </c>
      <c r="C9" t="s">
        <v>513</v>
      </c>
    </row>
    <row r="10" spans="1:8" x14ac:dyDescent="0.3">
      <c r="A10" s="1" t="s">
        <v>514</v>
      </c>
      <c r="B10" s="2" t="str">
        <f>IF(B4&lt;=B5*2,"Normal","Alerta")</f>
        <v>Normal</v>
      </c>
      <c r="C10" t="s">
        <v>515</v>
      </c>
    </row>
    <row r="11" spans="1:8" x14ac:dyDescent="0.3">
      <c r="A11" s="1" t="s">
        <v>516</v>
      </c>
      <c r="B11" s="2" t="str">
        <f>IF(B8&lt;=2,"Normal",IF(B8&lt;=3,"Atenção","Crítico"))</f>
        <v>Normal</v>
      </c>
      <c r="C11" t="s">
        <v>517</v>
      </c>
    </row>
    <row r="12" spans="1:8" x14ac:dyDescent="0.3">
      <c r="A12" s="1" t="s">
        <v>518</v>
      </c>
      <c r="B12" s="2" t="str">
        <f>IF(B6&gt;=Config!B5,"Normal",IF(B6&gt;=Config!B5*0.6,"Atenção","Crítico"))</f>
        <v>Crítico</v>
      </c>
      <c r="C12" t="s">
        <v>519</v>
      </c>
    </row>
    <row r="13" spans="1:8" x14ac:dyDescent="0.3">
      <c r="A13" s="1" t="s">
        <v>520</v>
      </c>
      <c r="B13" s="7" t="str">
        <f>IF(AND(B10="Normal",B11="Normal",B12="Normal"),"🟢 Saudável",IF(OR(B11="Crítico",B12="Crítico"),"🔴 Degradado","🟡 Atenção"))</f>
        <v>🔴 Degradado</v>
      </c>
      <c r="C13" t="s">
        <v>521</v>
      </c>
    </row>
  </sheetData>
  <mergeCells count="1">
    <mergeCell ref="A1:H1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>
      <selection sqref="A1:F1"/>
    </sheetView>
  </sheetViews>
  <sheetFormatPr defaultRowHeight="14.4" x14ac:dyDescent="0.3"/>
  <cols>
    <col min="1" max="1" width="28" customWidth="1"/>
    <col min="2" max="2" width="18" customWidth="1"/>
    <col min="3" max="3" width="42" customWidth="1"/>
    <col min="5" max="8" width="14" customWidth="1"/>
  </cols>
  <sheetData>
    <row r="1" spans="1:8" ht="18" customHeight="1" x14ac:dyDescent="0.35">
      <c r="A1" s="76" t="s">
        <v>522</v>
      </c>
      <c r="B1" s="64"/>
      <c r="C1" s="64"/>
      <c r="D1" s="64"/>
      <c r="E1" s="64"/>
      <c r="F1" s="64"/>
    </row>
    <row r="3" spans="1:8" x14ac:dyDescent="0.3">
      <c r="A3" s="47" t="s">
        <v>500</v>
      </c>
      <c r="B3" s="47" t="s">
        <v>12</v>
      </c>
      <c r="C3" s="47" t="s">
        <v>449</v>
      </c>
      <c r="E3" s="42" t="s">
        <v>523</v>
      </c>
    </row>
    <row r="4" spans="1:8" x14ac:dyDescent="0.3">
      <c r="A4" s="48" t="s">
        <v>524</v>
      </c>
      <c r="B4" s="45">
        <f>Config!B18</f>
        <v>202.66</v>
      </c>
      <c r="C4" t="s">
        <v>525</v>
      </c>
      <c r="E4" s="42" t="s">
        <v>526</v>
      </c>
      <c r="F4" s="42" t="s">
        <v>527</v>
      </c>
      <c r="G4" s="42" t="s">
        <v>528</v>
      </c>
      <c r="H4" s="42" t="s">
        <v>219</v>
      </c>
    </row>
    <row r="5" spans="1:8" x14ac:dyDescent="0.3">
      <c r="A5" s="48" t="s">
        <v>529</v>
      </c>
      <c r="B5" s="45">
        <f>SUM('Registo Diário'!C2:C101)</f>
        <v>-5.5099999999999989</v>
      </c>
      <c r="C5" t="s">
        <v>530</v>
      </c>
      <c r="E5" s="4">
        <v>300</v>
      </c>
      <c r="F5" s="4">
        <v>30</v>
      </c>
      <c r="G5" s="4">
        <v>9</v>
      </c>
      <c r="H5" s="4">
        <v>309</v>
      </c>
    </row>
    <row r="6" spans="1:8" x14ac:dyDescent="0.3">
      <c r="A6" s="48" t="s">
        <v>531</v>
      </c>
      <c r="B6" s="45">
        <f>MAX(B4,B4+B5)</f>
        <v>202.66</v>
      </c>
      <c r="C6" t="s">
        <v>532</v>
      </c>
      <c r="E6" s="4">
        <v>400</v>
      </c>
      <c r="F6" s="4">
        <v>80</v>
      </c>
      <c r="G6" s="4">
        <v>24</v>
      </c>
      <c r="H6" s="4">
        <v>424</v>
      </c>
    </row>
    <row r="7" spans="1:8" x14ac:dyDescent="0.3">
      <c r="A7" s="48" t="s">
        <v>533</v>
      </c>
      <c r="B7" s="44" t="str">
        <f>IF(B4&gt;=300,"Sim","Ainda não")</f>
        <v>Ainda não</v>
      </c>
      <c r="C7" t="s">
        <v>534</v>
      </c>
      <c r="E7" s="4">
        <v>600</v>
      </c>
      <c r="F7" s="4">
        <v>150</v>
      </c>
      <c r="G7" s="4">
        <v>45</v>
      </c>
      <c r="H7" s="4">
        <v>645</v>
      </c>
    </row>
    <row r="8" spans="1:8" x14ac:dyDescent="0.3">
      <c r="A8" s="48" t="s">
        <v>535</v>
      </c>
      <c r="B8" s="49">
        <f>IF(B7="Sim",0.3,0)</f>
        <v>0</v>
      </c>
      <c r="C8" t="s">
        <v>536</v>
      </c>
    </row>
    <row r="9" spans="1:8" x14ac:dyDescent="0.3">
      <c r="A9" s="48" t="s">
        <v>537</v>
      </c>
      <c r="B9" s="45">
        <f>B5*B8</f>
        <v>0</v>
      </c>
      <c r="C9" t="s">
        <v>538</v>
      </c>
    </row>
    <row r="10" spans="1:8" x14ac:dyDescent="0.3">
      <c r="A10" s="48" t="s">
        <v>327</v>
      </c>
      <c r="B10" s="45">
        <f>B4+B9</f>
        <v>202.66</v>
      </c>
      <c r="C10" t="s">
        <v>539</v>
      </c>
    </row>
    <row r="11" spans="1:8" x14ac:dyDescent="0.3">
      <c r="A11" s="48" t="s">
        <v>328</v>
      </c>
      <c r="B11" s="45">
        <f>Config!B18-B10</f>
        <v>0</v>
      </c>
      <c r="C11" t="s">
        <v>540</v>
      </c>
    </row>
    <row r="12" spans="1:8" x14ac:dyDescent="0.3">
      <c r="A12" s="48" t="s">
        <v>541</v>
      </c>
      <c r="B12" s="44" t="str">
        <f>IF(B7&lt;&gt;"Sim","Informativo",IF(B11&lt;=0,"🛑 Abaixo do Lock",IF(B11&lt;=10,"⚠ Perto do Lock","🟢 Seguro")))</f>
        <v>Informativo</v>
      </c>
      <c r="C12" t="s">
        <v>542</v>
      </c>
    </row>
    <row r="13" spans="1:8" x14ac:dyDescent="0.3">
      <c r="A13" s="48" t="s">
        <v>543</v>
      </c>
      <c r="B13" s="50" t="str">
        <f>"Se tocar ou quebrar o Profit Lock: parar o sistema e analisar no fecho do dia."</f>
        <v>Se tocar ou quebrar o Profit Lock: parar o sistema e analisar no fecho do dia.</v>
      </c>
      <c r="C13" t="s">
        <v>544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23</vt:i4>
      </vt:variant>
    </vt:vector>
  </HeadingPairs>
  <TitlesOfParts>
    <vt:vector size="23" baseType="lpstr">
      <vt:lpstr>Capa</vt:lpstr>
      <vt:lpstr>Uso Rápido</vt:lpstr>
      <vt:lpstr>Config</vt:lpstr>
      <vt:lpstr>Manual Operacional</vt:lpstr>
      <vt:lpstr>Dashboard</vt:lpstr>
      <vt:lpstr>Registo Diário</vt:lpstr>
      <vt:lpstr>Semaforo Semanal</vt:lpstr>
      <vt:lpstr>Controlo Mensal</vt:lpstr>
      <vt:lpstr>Revisao Trimestral</vt:lpstr>
      <vt:lpstr>Controlo Lote</vt:lpstr>
      <vt:lpstr>Targets</vt:lpstr>
      <vt:lpstr>Projeções</vt:lpstr>
      <vt:lpstr>Ciclos Negativos</vt:lpstr>
      <vt:lpstr>Equity vs Drawdown</vt:lpstr>
      <vt:lpstr>Score de Saude</vt:lpstr>
      <vt:lpstr>Historico Decisoes</vt:lpstr>
      <vt:lpstr>Cenarios Stress</vt:lpstr>
      <vt:lpstr>Simulador 10k</vt:lpstr>
      <vt:lpstr>Indicador Lote</vt:lpstr>
      <vt:lpstr>DD Metrics</vt:lpstr>
      <vt:lpstr>Plano Rendimentos</vt:lpstr>
      <vt:lpstr>Monitor Saude EA</vt:lpstr>
      <vt:lpstr>Profit 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Morais</cp:lastModifiedBy>
  <dcterms:created xsi:type="dcterms:W3CDTF">2026-03-11T14:27:16Z</dcterms:created>
  <dcterms:modified xsi:type="dcterms:W3CDTF">2026-03-15T17:07:59Z</dcterms:modified>
</cp:coreProperties>
</file>